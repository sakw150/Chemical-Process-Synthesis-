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muelkwon/Desktop/Undergrad/CHEN 4520 Chemical Process Synthesis/Final Design /Excel + Code /"/>
    </mc:Choice>
  </mc:AlternateContent>
  <xr:revisionPtr revIDLastSave="0" documentId="8_{357B2D85-CC45-4F4B-AACA-878D623F3389}" xr6:coauthVersionLast="47" xr6:coauthVersionMax="47" xr10:uidLastSave="{00000000-0000-0000-0000-000000000000}"/>
  <bookViews>
    <workbookView xWindow="0" yWindow="720" windowWidth="29400" windowHeight="18400" tabRatio="426" firstSheet="1" activeTab="3" xr2:uid="{00000000-000D-0000-FFFF-FFFF00000000}"/>
  </bookViews>
  <sheets>
    <sheet name="CAPITAL COST" sheetId="1" r:id="rId1"/>
    <sheet name="VARIABLE COST" sheetId="2" r:id="rId2"/>
    <sheet name="FIXED COST" sheetId="3" r:id="rId3"/>
    <sheet name="CASH FLOW" sheetId="4" r:id="rId4"/>
    <sheet name="S1" sheetId="74" r:id="rId5"/>
    <sheet name="S2" sheetId="76" r:id="rId6"/>
    <sheet name="S3" sheetId="78" r:id="rId7"/>
    <sheet name="S4" sheetId="80" r:id="rId8"/>
    <sheet name="S5" sheetId="82" r:id="rId9"/>
    <sheet name="%IRR Sensitivity C4" sheetId="81" r:id="rId10"/>
    <sheet name="Operators Sensitivity C3" sheetId="79" r:id="rId11"/>
    <sheet name="Methane Sensitivity C2" sheetId="77" r:id="rId12"/>
    <sheet name="Biomass Sensitivity C1" sheetId="75" r:id="rId13"/>
    <sheet name="CASH CHART" sheetId="69" r:id="rId14"/>
    <sheet name="CUMULATIVE CASH FLOW" sheetId="70" r:id="rId15"/>
  </sheets>
  <definedNames>
    <definedName name="AnnCap">'CAPITAL COST'!$B$9</definedName>
    <definedName name="CAP">'CASH FLOW'!$D$11</definedName>
    <definedName name="Days">'CASH FLOW'!$B$35</definedName>
    <definedName name="FIXED">'FIXED COST'!$I$39</definedName>
    <definedName name="GUESS">'CASH FLOW'!$C$53</definedName>
    <definedName name="HourCap">'CAPITAL COST'!$B$10</definedName>
    <definedName name="IncomeTax">'CASH FLOW'!$B$41</definedName>
    <definedName name="INFL">'CASH FLOW'!$G$11</definedName>
    <definedName name="INVENTORY">'CAPITAL COST'!$H$129</definedName>
    <definedName name="INVEST">'CAPITAL COST'!$J$117</definedName>
    <definedName name="LangFactorTable">'CAPITAL COST'!$B$157:$E$171</definedName>
    <definedName name="NPV_MACRO">'CASH FLOW'!$F$53</definedName>
    <definedName name="OpHours">'CAPITAL COST'!$C$8</definedName>
    <definedName name="ProcessingType">'CAPITAL COST'!$B$152:$C$154</definedName>
    <definedName name="Product">'CAPITAL COST'!$B$6</definedName>
    <definedName name="replace_factor">'CASH FLOW'!$C$19</definedName>
    <definedName name="ROIFIXED">'FIXED COST'!$I$46</definedName>
    <definedName name="salvage">'CASH FLOW'!$D$17</definedName>
    <definedName name="salvage_perct">'CASH FLOW'!$D$16</definedName>
    <definedName name="SELL">'CASH FLOW'!$D$13</definedName>
    <definedName name="SiteFactor">'CAPITAL COST'!$B$136:$C$145</definedName>
    <definedName name="Sites">'CAPITAL COST'!$B$136:$B$145</definedName>
    <definedName name="solver_cvg" localSheetId="3" hidden="1">0.001</definedName>
    <definedName name="solver_drv" localSheetId="3" hidden="1">1</definedName>
    <definedName name="solver_est" localSheetId="3" hidden="1">1</definedName>
    <definedName name="solver_itr" localSheetId="3" hidden="1">100</definedName>
    <definedName name="solver_lhs1" localSheetId="3" hidden="1">'CASH FLOW'!$D$13</definedName>
    <definedName name="solver_lhs2" localSheetId="3" hidden="1">'CASH FLOW'!$D$13</definedName>
    <definedName name="solver_lin" localSheetId="3" hidden="1">2</definedName>
    <definedName name="solver_neg" localSheetId="3" hidden="1">2</definedName>
    <definedName name="solver_num" localSheetId="3" hidden="1">0</definedName>
    <definedName name="solver_nwt" localSheetId="3" hidden="1">1</definedName>
    <definedName name="solver_pre" localSheetId="3" hidden="1">0.000001</definedName>
    <definedName name="solver_rel1" localSheetId="3" hidden="1">3</definedName>
    <definedName name="solver_rel2" localSheetId="3" hidden="1">3</definedName>
    <definedName name="solver_rhs1" localSheetId="3" hidden="1">0</definedName>
    <definedName name="solver_rhs2" localSheetId="3" hidden="1">0</definedName>
    <definedName name="solver_scl" localSheetId="3" hidden="1">2</definedName>
    <definedName name="solver_sho" localSheetId="3" hidden="1">2</definedName>
    <definedName name="solver_tim" localSheetId="3" hidden="1">100</definedName>
    <definedName name="solver_tol" localSheetId="3" hidden="1">0.05</definedName>
    <definedName name="solver_typ" localSheetId="3" hidden="1">1</definedName>
    <definedName name="solver_val" localSheetId="3" hidden="1">0</definedName>
    <definedName name="Spares">'CAPITAL COST'!$H$131</definedName>
    <definedName name="SPINFL">'CASH FLOW'!$G$12</definedName>
    <definedName name="TARGET">'CASH FLOW'!$C$55</definedName>
    <definedName name="TOTINVEST">'CASH FLOW'!$D$12</definedName>
    <definedName name="Units">'CAPITAL COST'!$C$7</definedName>
    <definedName name="VARIABLE">'VARIABLE COST'!$I$47</definedName>
    <definedName name="WORKCAP">'CAPITAL COST'!$H$133</definedName>
    <definedName name="YEAR1">'CASH FLOW'!$K$50</definedName>
    <definedName name="YEAR2">'CASH FLOW'!$K$51</definedName>
    <definedName name="YEAR3">'CASH FLOW'!$K$52</definedName>
    <definedName name="YEAR4">'CASH FLOW'!$K$53</definedName>
    <definedName name="YEAR5">'CASH FLOW'!$K$54</definedName>
    <definedName name="YEAR6">'CASH FLOW'!$K$55</definedName>
    <definedName name="yr1_replace_factor">'CASH FLOW'!$C$20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" l="1"/>
  <c r="E13" i="2"/>
  <c r="D63" i="1"/>
  <c r="D66" i="1"/>
  <c r="D65" i="1"/>
  <c r="D64" i="1"/>
  <c r="D62" i="1"/>
  <c r="H62" i="1" s="1"/>
  <c r="D61" i="1"/>
  <c r="H61" i="1" s="1"/>
  <c r="D60" i="1"/>
  <c r="D59" i="1"/>
  <c r="H59" i="1" s="1"/>
  <c r="D58" i="1"/>
  <c r="H58" i="1" s="1"/>
  <c r="D57" i="1"/>
  <c r="H57" i="1" s="1"/>
  <c r="D56" i="1"/>
  <c r="D55" i="1"/>
  <c r="H55" i="1" s="1"/>
  <c r="D54" i="1"/>
  <c r="D53" i="1"/>
  <c r="D52" i="1"/>
  <c r="B33" i="4"/>
  <c r="E27" i="2"/>
  <c r="E15" i="2"/>
  <c r="M15" i="2" s="1"/>
  <c r="L13" i="2"/>
  <c r="E28" i="2"/>
  <c r="L14" i="2"/>
  <c r="M14" i="2" s="1"/>
  <c r="K14" i="2"/>
  <c r="L16" i="2"/>
  <c r="L15" i="2"/>
  <c r="T26" i="4"/>
  <c r="U26" i="4"/>
  <c r="V26" i="4"/>
  <c r="W26" i="4"/>
  <c r="X26" i="4"/>
  <c r="Y26" i="4"/>
  <c r="Z26" i="4"/>
  <c r="AA26" i="4"/>
  <c r="AB26" i="4"/>
  <c r="AC26" i="4"/>
  <c r="Z30" i="4"/>
  <c r="AA30" i="4"/>
  <c r="AB30" i="4"/>
  <c r="AC30" i="4"/>
  <c r="H56" i="1"/>
  <c r="H60" i="1"/>
  <c r="H63" i="1"/>
  <c r="H64" i="1"/>
  <c r="H65" i="1"/>
  <c r="H66" i="1"/>
  <c r="M16" i="2" l="1"/>
  <c r="M13" i="2"/>
  <c r="H102" i="1"/>
  <c r="E101" i="1" l="1"/>
  <c r="E100" i="1"/>
  <c r="C31" i="1"/>
  <c r="C32" i="1"/>
  <c r="C33" i="1"/>
  <c r="C34" i="1"/>
  <c r="C35" i="1"/>
  <c r="C36" i="1"/>
  <c r="C37" i="1"/>
  <c r="C39" i="1"/>
  <c r="C40" i="1"/>
  <c r="C42" i="1"/>
  <c r="C43" i="1"/>
  <c r="J40" i="3" l="1"/>
  <c r="E37" i="3"/>
  <c r="H14" i="3"/>
  <c r="I18" i="3" s="1"/>
  <c r="E8" i="3"/>
  <c r="J47" i="3" s="1"/>
  <c r="J46" i="2"/>
  <c r="I42" i="2"/>
  <c r="H35" i="2"/>
  <c r="H34" i="2"/>
  <c r="H33" i="2"/>
  <c r="H26" i="2"/>
  <c r="H24" i="2"/>
  <c r="H22" i="2"/>
  <c r="F12" i="2"/>
  <c r="H10" i="2"/>
  <c r="E8" i="2"/>
  <c r="C6" i="2"/>
  <c r="H128" i="1"/>
  <c r="E128" i="1"/>
  <c r="H127" i="1"/>
  <c r="E127" i="1"/>
  <c r="H126" i="1"/>
  <c r="E126" i="1"/>
  <c r="H125" i="1"/>
  <c r="E125" i="1"/>
  <c r="H54" i="1"/>
  <c r="H53" i="1"/>
  <c r="H52" i="1"/>
  <c r="H23" i="1"/>
  <c r="H24" i="1" s="1"/>
  <c r="J25" i="1" s="1"/>
  <c r="D30" i="1" s="1"/>
  <c r="D43" i="1" s="1"/>
  <c r="C10" i="1"/>
  <c r="C9" i="1"/>
  <c r="H5" i="1"/>
  <c r="D40" i="1" l="1"/>
  <c r="H15" i="3"/>
  <c r="H16" i="3"/>
  <c r="D39" i="1"/>
  <c r="D42" i="1"/>
  <c r="H129" i="1"/>
  <c r="H84" i="1"/>
  <c r="I17" i="3" l="1"/>
  <c r="H86" i="1"/>
  <c r="J87" i="1" l="1"/>
  <c r="J89" i="1" s="1"/>
  <c r="H98" i="1" s="1"/>
  <c r="H100" i="1" l="1"/>
  <c r="H101" i="1"/>
  <c r="D31" i="1"/>
  <c r="D36" i="1"/>
  <c r="D32" i="1"/>
  <c r="D34" i="1"/>
  <c r="D37" i="1"/>
  <c r="D33" i="1"/>
  <c r="D35" i="1"/>
  <c r="H103" i="1" l="1"/>
  <c r="H105" i="1" s="1"/>
  <c r="H106" i="1" s="1"/>
  <c r="D38" i="1"/>
  <c r="D41" i="1" s="1"/>
  <c r="D45" i="1" s="1"/>
  <c r="H108" i="1" l="1"/>
  <c r="J111" i="1" s="1"/>
  <c r="J112" i="1" s="1"/>
  <c r="J113" i="1" s="1"/>
  <c r="J114" i="1" s="1"/>
  <c r="J115" i="1" s="1"/>
  <c r="J116" i="1" s="1"/>
  <c r="J117" i="1" s="1"/>
  <c r="D12" i="4" l="1"/>
  <c r="H131" i="1"/>
  <c r="H133" i="1" s="1"/>
  <c r="I21" i="3"/>
  <c r="H22" i="3"/>
  <c r="I26" i="3" s="1"/>
  <c r="D10" i="3"/>
  <c r="I35" i="3"/>
  <c r="H31" i="3"/>
  <c r="H23" i="3"/>
  <c r="I27" i="3"/>
  <c r="H30" i="3"/>
  <c r="D17" i="4" l="1"/>
  <c r="B32" i="4"/>
  <c r="I32" i="3"/>
  <c r="D34" i="4"/>
  <c r="S34" i="4"/>
  <c r="E30" i="4"/>
  <c r="E42" i="4" s="1"/>
  <c r="D37" i="4"/>
  <c r="D39" i="4" s="1"/>
  <c r="E32" i="4"/>
  <c r="F30" i="4" s="1"/>
  <c r="F42" i="4" s="1"/>
  <c r="E37" i="4"/>
  <c r="C32" i="4"/>
  <c r="C44" i="4" s="1"/>
  <c r="F32" i="4"/>
  <c r="G32" i="4" s="1"/>
  <c r="H32" i="4" s="1"/>
  <c r="I32" i="4" s="1"/>
  <c r="J32" i="4" s="1"/>
  <c r="S27" i="4" l="1"/>
  <c r="AA27" i="4"/>
  <c r="Y27" i="4"/>
  <c r="U27" i="4"/>
  <c r="W27" i="4"/>
  <c r="AC27" i="4"/>
  <c r="G30" i="4"/>
  <c r="G42" i="4" s="1"/>
  <c r="J30" i="4"/>
  <c r="J42" i="4" s="1"/>
  <c r="H30" i="4"/>
  <c r="H42" i="4" s="1"/>
  <c r="D32" i="4"/>
  <c r="K30" i="4"/>
  <c r="K42" i="4" s="1"/>
  <c r="K32" i="4"/>
  <c r="I30" i="4"/>
  <c r="I42" i="4" s="1"/>
  <c r="B44" i="4"/>
  <c r="D41" i="4"/>
  <c r="D44" i="4" l="1"/>
  <c r="B45" i="4"/>
  <c r="C45" i="4" s="1"/>
  <c r="L32" i="4"/>
  <c r="L30" i="4"/>
  <c r="L42" i="4" s="1"/>
  <c r="D45" i="4" l="1"/>
  <c r="M32" i="4"/>
  <c r="M30" i="4"/>
  <c r="M42" i="4" s="1"/>
  <c r="N30" i="4" l="1"/>
  <c r="N42" i="4" s="1"/>
  <c r="N32" i="4"/>
  <c r="O32" i="4" l="1"/>
  <c r="O30" i="4"/>
  <c r="O42" i="4" s="1"/>
  <c r="P32" i="4" l="1"/>
  <c r="P30" i="4"/>
  <c r="P42" i="4" s="1"/>
  <c r="Q32" i="4" l="1"/>
  <c r="Q30" i="4"/>
  <c r="Q42" i="4" s="1"/>
  <c r="R30" i="4" l="1"/>
  <c r="R42" i="4" s="1"/>
  <c r="R32" i="4"/>
  <c r="S32" i="4" s="1"/>
  <c r="I26" i="4"/>
  <c r="M26" i="4"/>
  <c r="F26" i="4"/>
  <c r="H26" i="4"/>
  <c r="P26" i="4"/>
  <c r="Q26" i="4"/>
  <c r="D8" i="3"/>
  <c r="R26" i="4"/>
  <c r="J26" i="4"/>
  <c r="S26" i="4"/>
  <c r="G26" i="4"/>
  <c r="C61" i="4" s="1"/>
  <c r="K26" i="4"/>
  <c r="L26" i="4"/>
  <c r="N26" i="4"/>
  <c r="O26" i="4"/>
  <c r="D8" i="2"/>
  <c r="I37" i="3"/>
  <c r="B10" i="1"/>
  <c r="E26" i="4"/>
  <c r="E35" i="4" s="1"/>
  <c r="I46" i="3" l="1"/>
  <c r="C63" i="4" s="1"/>
  <c r="I39" i="3"/>
  <c r="F17" i="2"/>
  <c r="H17" i="2" s="1"/>
  <c r="F25" i="2"/>
  <c r="F23" i="2"/>
  <c r="F20" i="2"/>
  <c r="F21" i="2"/>
  <c r="H21" i="2" s="1"/>
  <c r="F28" i="2"/>
  <c r="H28" i="2" s="1"/>
  <c r="F13" i="2"/>
  <c r="H13" i="2" s="1"/>
  <c r="I18" i="2" s="1"/>
  <c r="F15" i="2"/>
  <c r="H15" i="2" s="1"/>
  <c r="F16" i="2"/>
  <c r="H16" i="2" s="1"/>
  <c r="F14" i="2"/>
  <c r="H14" i="2" s="1"/>
  <c r="F27" i="2"/>
  <c r="H27" i="2" s="1"/>
  <c r="S30" i="4"/>
  <c r="S42" i="4" s="1"/>
  <c r="Y30" i="4"/>
  <c r="W30" i="4"/>
  <c r="T30" i="4"/>
  <c r="U30" i="4"/>
  <c r="V30" i="4"/>
  <c r="X30" i="4"/>
  <c r="F32" i="2"/>
  <c r="H32" i="2" s="1"/>
  <c r="I36" i="2" s="1"/>
  <c r="H20" i="2"/>
  <c r="H25" i="2"/>
  <c r="H23" i="2"/>
  <c r="I47" i="3"/>
  <c r="I40" i="3"/>
  <c r="F35" i="4"/>
  <c r="F29" i="4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E29" i="4"/>
  <c r="I29" i="2" l="1"/>
  <c r="I46" i="2" s="1"/>
  <c r="I47" i="2" s="1"/>
  <c r="G35" i="4"/>
  <c r="C68" i="4" s="1"/>
  <c r="U28" i="4" l="1"/>
  <c r="AC28" i="4"/>
  <c r="V28" i="4"/>
  <c r="W28" i="4"/>
  <c r="X28" i="4"/>
  <c r="AB28" i="4"/>
  <c r="Y28" i="4"/>
  <c r="AA28" i="4"/>
  <c r="Z28" i="4"/>
  <c r="T28" i="4"/>
  <c r="O28" i="4"/>
  <c r="O39" i="4" s="1"/>
  <c r="O41" i="4" s="1"/>
  <c r="K28" i="4"/>
  <c r="K39" i="4" s="1"/>
  <c r="K41" i="4" s="1"/>
  <c r="N28" i="4"/>
  <c r="N39" i="4" s="1"/>
  <c r="N41" i="4" s="1"/>
  <c r="L28" i="4"/>
  <c r="L39" i="4" s="1"/>
  <c r="L41" i="4" s="1"/>
  <c r="Q28" i="4"/>
  <c r="Q39" i="4" s="1"/>
  <c r="Q41" i="4" s="1"/>
  <c r="E28" i="4"/>
  <c r="E39" i="4" s="1"/>
  <c r="E41" i="4" s="1"/>
  <c r="E44" i="4" s="1"/>
  <c r="E45" i="4" s="1"/>
  <c r="R28" i="4"/>
  <c r="R39" i="4" s="1"/>
  <c r="R41" i="4" s="1"/>
  <c r="I28" i="4"/>
  <c r="I39" i="4" s="1"/>
  <c r="I41" i="4" s="1"/>
  <c r="H28" i="4"/>
  <c r="H39" i="4" s="1"/>
  <c r="H41" i="4" s="1"/>
  <c r="G28" i="4"/>
  <c r="M28" i="4"/>
  <c r="M39" i="4" s="1"/>
  <c r="M41" i="4" s="1"/>
  <c r="F28" i="4"/>
  <c r="F39" i="4" s="1"/>
  <c r="F41" i="4" s="1"/>
  <c r="F44" i="4" s="1"/>
  <c r="J28" i="4"/>
  <c r="J39" i="4" s="1"/>
  <c r="J41" i="4" s="1"/>
  <c r="S28" i="4"/>
  <c r="S39" i="4" s="1"/>
  <c r="S41" i="4" s="1"/>
  <c r="P28" i="4"/>
  <c r="P39" i="4" s="1"/>
  <c r="P41" i="4" s="1"/>
  <c r="H35" i="4"/>
  <c r="H44" i="4" l="1"/>
  <c r="C62" i="4"/>
  <c r="C64" i="4" s="1"/>
  <c r="C65" i="4" s="1"/>
  <c r="C66" i="4" s="1"/>
  <c r="G63" i="4" s="1"/>
  <c r="G65" i="4" s="1"/>
  <c r="G39" i="4"/>
  <c r="G41" i="4" s="1"/>
  <c r="G44" i="4" s="1"/>
  <c r="I35" i="4"/>
  <c r="I44" i="4" s="1"/>
  <c r="F45" i="4"/>
  <c r="G45" i="4" l="1"/>
  <c r="H45" i="4" s="1"/>
  <c r="I45" i="4" s="1"/>
  <c r="J35" i="4"/>
  <c r="J44" i="4" s="1"/>
  <c r="K35" i="4" l="1"/>
  <c r="L35" i="4" s="1"/>
  <c r="L44" i="4" s="1"/>
  <c r="J45" i="4"/>
  <c r="K44" i="4" l="1"/>
  <c r="K45" i="4" s="1"/>
  <c r="L45" i="4" s="1"/>
  <c r="M35" i="4"/>
  <c r="M44" i="4" l="1"/>
  <c r="N35" i="4"/>
  <c r="N44" i="4" l="1"/>
  <c r="O35" i="4"/>
  <c r="M45" i="4"/>
  <c r="N45" i="4" l="1"/>
  <c r="O44" i="4"/>
  <c r="P35" i="4"/>
  <c r="O45" i="4" l="1"/>
  <c r="P44" i="4"/>
  <c r="Q35" i="4"/>
  <c r="P45" i="4" l="1"/>
  <c r="Q44" i="4"/>
  <c r="R35" i="4"/>
  <c r="Q45" i="4" l="1"/>
  <c r="R44" i="4"/>
  <c r="S35" i="4"/>
  <c r="S44" i="4" s="1"/>
  <c r="R45" i="4" l="1"/>
  <c r="S45" i="4" s="1"/>
  <c r="C54" i="4"/>
  <c r="C50" i="4"/>
  <c r="F53" i="4"/>
  <c r="C51" i="4"/>
</calcChain>
</file>

<file path=xl/sharedStrings.xml><?xml version="1.0" encoding="utf-8"?>
<sst xmlns="http://schemas.openxmlformats.org/spreadsheetml/2006/main" count="373" uniqueCount="291">
  <si>
    <t>=User Input</t>
  </si>
  <si>
    <t>=Calc by Computer</t>
  </si>
  <si>
    <t>Title:</t>
  </si>
  <si>
    <t>Date:</t>
  </si>
  <si>
    <t>Capacity:</t>
  </si>
  <si>
    <t>Site:</t>
  </si>
  <si>
    <t>Item</t>
  </si>
  <si>
    <t>Subtotal</t>
  </si>
  <si>
    <t>Enter cost of Land into cell B22 on Cash Flow sheet.</t>
  </si>
  <si>
    <t>Cost</t>
  </si>
  <si>
    <t>Misc Equipment</t>
  </si>
  <si>
    <t>Equipment at Bare Module Level</t>
  </si>
  <si>
    <t>Factor</t>
  </si>
  <si>
    <t>Contingency</t>
  </si>
  <si>
    <t>EQUIP</t>
  </si>
  <si>
    <t>Total (Current $$, USGC)</t>
  </si>
  <si>
    <t>Site Factor</t>
  </si>
  <si>
    <t xml:space="preserve"> of USGC Total</t>
  </si>
  <si>
    <t>Inflation</t>
  </si>
  <si>
    <t xml:space="preserve"> for</t>
  </si>
  <si>
    <t>yrs</t>
  </si>
  <si>
    <t>Scope Growth</t>
  </si>
  <si>
    <t>Total Project-Level Cost</t>
  </si>
  <si>
    <t>SAY</t>
  </si>
  <si>
    <t>WORKING CAPITAL</t>
  </si>
  <si>
    <t>Quantity</t>
  </si>
  <si>
    <t>Units</t>
  </si>
  <si>
    <t>Price</t>
  </si>
  <si>
    <t>Total</t>
  </si>
  <si>
    <t>of Investment</t>
  </si>
  <si>
    <t>OPERATING COST ESTIMATE</t>
  </si>
  <si>
    <t>VARIABLE COST</t>
  </si>
  <si>
    <t>=USER INPUT</t>
  </si>
  <si>
    <t>=CALC BY COMPUTER</t>
  </si>
  <si>
    <t>PRODUCT:</t>
  </si>
  <si>
    <t>ANNUAL CAPACITY:</t>
  </si>
  <si>
    <t>INGREDIENTS:</t>
  </si>
  <si>
    <t>UNIT OF</t>
  </si>
  <si>
    <t>COST PER</t>
  </si>
  <si>
    <t>UNITS OF</t>
  </si>
  <si>
    <t>MEASURE</t>
  </si>
  <si>
    <t>UNIT</t>
  </si>
  <si>
    <t>INGRED/</t>
  </si>
  <si>
    <t>of PRODUCT ($)</t>
  </si>
  <si>
    <t>($)</t>
  </si>
  <si>
    <t>INGREDIENT NO. 4</t>
  </si>
  <si>
    <t>SUBTOTAL INGREDIENTS</t>
  </si>
  <si>
    <t>UTILITIES:</t>
  </si>
  <si>
    <t>HP STEAM</t>
  </si>
  <si>
    <t>LP STEAM</t>
  </si>
  <si>
    <t>PROCESS WATER</t>
  </si>
  <si>
    <t>gal</t>
  </si>
  <si>
    <t>COOLING WATER</t>
  </si>
  <si>
    <t>INERT GAS</t>
  </si>
  <si>
    <t>CF</t>
  </si>
  <si>
    <t>ELECTRICITY</t>
  </si>
  <si>
    <t>kWh</t>
  </si>
  <si>
    <t>COMPRESSED AIR</t>
  </si>
  <si>
    <t>WASTE TREATMENT</t>
  </si>
  <si>
    <t>SUBTOTAL UTILITIES</t>
  </si>
  <si>
    <t>CATALYSTS &amp; CHEMICALS</t>
  </si>
  <si>
    <t>CATALYST</t>
  </si>
  <si>
    <t>CHEMICAL 1</t>
  </si>
  <si>
    <t>CHEMICAL 2</t>
  </si>
  <si>
    <t>CHEMICAL 3</t>
  </si>
  <si>
    <t>SUBTOTAL CATALYSTS &amp; CHEMICALS</t>
  </si>
  <si>
    <t>PACKAGING MATERIALS</t>
  </si>
  <si>
    <t>PACKAGING LABOR</t>
  </si>
  <si>
    <t>OTHER VARIABLE COSTS</t>
  </si>
  <si>
    <t>TOTAL VARIABLE COST</t>
  </si>
  <si>
    <t>FIXED COST</t>
  </si>
  <si>
    <t>OPERATING LABOR &amp; BENEFITS:</t>
  </si>
  <si>
    <t>ANNUAL COST</t>
  </si>
  <si>
    <t>NO. of OPERATORS:</t>
  </si>
  <si>
    <t>ANNUAL WAGES</t>
  </si>
  <si>
    <t>EMPL. BENEFITS @</t>
  </si>
  <si>
    <t>of WAGES</t>
  </si>
  <si>
    <t>OPERATING SUPERVISION @</t>
  </si>
  <si>
    <t>SUBTOTAL OPERATING LABOR:</t>
  </si>
  <si>
    <t>OPERATING SUPPLIES:</t>
  </si>
  <si>
    <t>MAINTENANCE:</t>
  </si>
  <si>
    <t>TOTAL MAINTENANCE @</t>
  </si>
  <si>
    <t>OF INVESTMENT</t>
  </si>
  <si>
    <t>MAINTENANCE LABOR@</t>
  </si>
  <si>
    <t>of TOTAL MAINT.</t>
  </si>
  <si>
    <t>MAINTENANCE MATERIAL @</t>
  </si>
  <si>
    <t>OVERHEAD:</t>
  </si>
  <si>
    <t>GEN. OH @</t>
  </si>
  <si>
    <t>of (OPR. WAGES + MAINT LABOR + OPR. SUPRV.)</t>
  </si>
  <si>
    <t>LAB &amp;TECHNICAL SUPPORT @</t>
  </si>
  <si>
    <t>of INVESTMENT</t>
  </si>
  <si>
    <t>CORPORATE OVERHEAD:</t>
  </si>
  <si>
    <t>SALES &amp; ADMINISTRATION</t>
  </si>
  <si>
    <t>RESEARCH &amp; DEVELOPMNT</t>
  </si>
  <si>
    <t>SUBTOTAL CORPORATE OVERHEAD................................................................</t>
  </si>
  <si>
    <t>INSURANCE &amp; LOCAL TAXES:</t>
  </si>
  <si>
    <t>ROYALTIES:</t>
  </si>
  <si>
    <t>TOTAL FIXED COST (for cash flow calculations):</t>
  </si>
  <si>
    <t>DEPRECIATION:</t>
  </si>
  <si>
    <t>TOTAL FIXED COST (for ROI calculations):</t>
  </si>
  <si>
    <t>CASH FLOW ANALYSIS</t>
  </si>
  <si>
    <t>USER INPUT</t>
  </si>
  <si>
    <t>INCOME</t>
  </si>
  <si>
    <t>OPERATING COST</t>
  </si>
  <si>
    <t>CAPITAL COST</t>
  </si>
  <si>
    <t>COST OF CAPITAL =</t>
  </si>
  <si>
    <t>INFLATION =</t>
  </si>
  <si>
    <t>INCOME IS +, EXPENSES ARE -</t>
  </si>
  <si>
    <t>per Unit</t>
  </si>
  <si>
    <t>DESIGN</t>
  </si>
  <si>
    <t>% OF CAPACITY</t>
  </si>
  <si>
    <t>DEPRECIATION</t>
  </si>
  <si>
    <t>LAND</t>
  </si>
  <si>
    <t>STARTUP COST</t>
  </si>
  <si>
    <t>GROSS INCOME</t>
  </si>
  <si>
    <t>INCOME TAX</t>
  </si>
  <si>
    <t>NET CASH FLOW</t>
  </si>
  <si>
    <t>NPV =</t>
  </si>
  <si>
    <t>YEAR1</t>
  </si>
  <si>
    <t>YEAR2</t>
  </si>
  <si>
    <t>YEAR3</t>
  </si>
  <si>
    <t>YEAR4</t>
  </si>
  <si>
    <t>YEAR5</t>
  </si>
  <si>
    <t>YEAR6</t>
  </si>
  <si>
    <t>ROI CALCULATION</t>
  </si>
  <si>
    <t>Third year income</t>
  </si>
  <si>
    <t>Third year variable cost</t>
  </si>
  <si>
    <t>Third year fixed cost</t>
  </si>
  <si>
    <t>ROI =</t>
  </si>
  <si>
    <t>Gross income</t>
  </si>
  <si>
    <t>Income Tax</t>
  </si>
  <si>
    <t>PAYBACK PERIOD =</t>
  </si>
  <si>
    <t>Years</t>
  </si>
  <si>
    <t>Net Income</t>
  </si>
  <si>
    <t>Units of Capacity</t>
  </si>
  <si>
    <t>Öperating Hours per Year</t>
  </si>
  <si>
    <t>ANNUAL AnnCap:</t>
  </si>
  <si>
    <t>$</t>
  </si>
  <si>
    <t>Product</t>
  </si>
  <si>
    <t>US Gulf Coast</t>
  </si>
  <si>
    <t>Capital Investment</t>
  </si>
  <si>
    <t>(incl. Working Cap.)</t>
  </si>
  <si>
    <t>US Southeast</t>
  </si>
  <si>
    <t>US Northeast</t>
  </si>
  <si>
    <t>US Midwest</t>
  </si>
  <si>
    <t>US West Coast</t>
  </si>
  <si>
    <t>Western Europe</t>
  </si>
  <si>
    <t>Mexico</t>
  </si>
  <si>
    <t>Japan</t>
  </si>
  <si>
    <t>Pacific Rim</t>
  </si>
  <si>
    <t>India</t>
  </si>
  <si>
    <t>ANNUALLY(Applies to selling price of product)</t>
  </si>
  <si>
    <t>ANNUALLY (Applies to all costs)</t>
  </si>
  <si>
    <t>Misc. Equipment</t>
  </si>
  <si>
    <t>Subtotal (DIC Equipment from Bare Module Costs)</t>
  </si>
  <si>
    <r>
      <t>Subtotal (DIC Equipment Costs)..</t>
    </r>
    <r>
      <rPr>
        <sz val="10"/>
        <color indexed="8"/>
        <rFont val="Helv"/>
      </rPr>
      <t>.....................................................................................................................................................</t>
    </r>
  </si>
  <si>
    <t>ACTS RECEIVABLE</t>
  </si>
  <si>
    <t>TOTAL INVESTMENT (TPI):</t>
  </si>
  <si>
    <t>TARGET=</t>
  </si>
  <si>
    <t>DEPRECIATION RATES (HALF-YEAR CONVENTION)</t>
  </si>
  <si>
    <t>SALVAGE PERCENT=</t>
  </si>
  <si>
    <t>SALVAGE VALUE=</t>
  </si>
  <si>
    <t>SALVAGE VALUE</t>
  </si>
  <si>
    <t>AFTER - TAX REAL IRR =</t>
  </si>
  <si>
    <t>GUESS  =</t>
  </si>
  <si>
    <t>STARTUP</t>
  </si>
  <si>
    <t xml:space="preserve">SELLING PRICE = </t>
  </si>
  <si>
    <t>SOLVED BY MACRO / USER</t>
  </si>
  <si>
    <t>k (Cash flows at end of each period)</t>
  </si>
  <si>
    <t>k  (Cash flows at beginning of each period)</t>
  </si>
  <si>
    <t>$k/yr</t>
  </si>
  <si>
    <t>($k)</t>
  </si>
  <si>
    <t>k  per Year</t>
  </si>
  <si>
    <t>($k/yr)</t>
  </si>
  <si>
    <t>k per Year</t>
  </si>
  <si>
    <t>Macros created by Jeremiah Zartman. Modified 6/15/04</t>
  </si>
  <si>
    <t>ALL FIGURES ARE IN $k</t>
  </si>
  <si>
    <t>k</t>
  </si>
  <si>
    <t>k PER OPERATOR</t>
  </si>
  <si>
    <t>NPV =  0 SET BY MACRO</t>
  </si>
  <si>
    <t>Total Replacement Cost Factor</t>
  </si>
  <si>
    <t>%</t>
  </si>
  <si>
    <t>First year Replacement factor</t>
  </si>
  <si>
    <t>CONSTRUCTION</t>
  </si>
  <si>
    <t>INGREDIENT NO. 1</t>
  </si>
  <si>
    <t>INGREDIENT NO. 2</t>
  </si>
  <si>
    <t>INGREDIENT NO. 3</t>
  </si>
  <si>
    <t>BYPRODUCT CREDIT</t>
  </si>
  <si>
    <t>MMBtu</t>
  </si>
  <si>
    <t>Site factor table</t>
  </si>
  <si>
    <r>
      <t>Note</t>
    </r>
    <r>
      <rPr>
        <sz val="10"/>
        <rFont val="Arial"/>
        <family val="2"/>
      </rPr>
      <t>: Do not include Depreciation if total Fixed Cost is to be used in Cash Flow Calc.</t>
    </r>
  </si>
  <si>
    <t>Start-up Raw Materials Inventory</t>
  </si>
  <si>
    <t>Start-up Spare Parts:</t>
  </si>
  <si>
    <t>TOTAL WORKING CAPITAL……………………………………</t>
  </si>
  <si>
    <t>Total Engineered Equipment/Purchased&amp;Delivered</t>
  </si>
  <si>
    <t>Subtotal/Purchased Equipment&amp;Delivered.......................................................................................................................................................</t>
  </si>
  <si>
    <t>PE</t>
  </si>
  <si>
    <t>FBM</t>
  </si>
  <si>
    <t>Subtotal (DIC from Total Bare Module Cost w/FBM Factors)</t>
  </si>
  <si>
    <t>TOTAL DEPRECIABLE CAPITAL COST =</t>
  </si>
  <si>
    <t>Engineered Equipment/Purchased &amp; Delivered</t>
  </si>
  <si>
    <t>TOTAL DEPRECIABLE CAPITAL or FIXED CAPITAL INVESTMENT   (TDC OR FCI)...................................................................................................................................................</t>
  </si>
  <si>
    <t>Study Estimate/Factored Estimate Method</t>
  </si>
  <si>
    <t>Bare Module Cost Method (PE w/ FBM factors)</t>
  </si>
  <si>
    <t>Total Bare-Module Costs for Fabricated Equipment</t>
  </si>
  <si>
    <t>Total Bare-Module Costs for Process Machinery</t>
  </si>
  <si>
    <t>Total Bare-Module Costs for Spares</t>
  </si>
  <si>
    <t>Total Bare-Module Costs for Storage and Surge Tanks</t>
  </si>
  <si>
    <t>Total Costs for Initial Catalyst Charges</t>
  </si>
  <si>
    <t>Total Bare-Module Costs for Computers &amp; Instrumentation</t>
  </si>
  <si>
    <t>Cost of Site Preparation</t>
  </si>
  <si>
    <t>Cost of Contingencies and Contractor's Fee</t>
  </si>
  <si>
    <t>Allocated Costs For Utility Plants &amp; Related Facilities</t>
  </si>
  <si>
    <t>Total Bare-Module Investment (TBM)........................................................................................................</t>
  </si>
  <si>
    <t>New Project</t>
  </si>
  <si>
    <t>Project Addition</t>
  </si>
  <si>
    <t>Project Type</t>
  </si>
  <si>
    <t>Site</t>
  </si>
  <si>
    <t>Services</t>
  </si>
  <si>
    <t>Site Type</t>
  </si>
  <si>
    <t>CUMULATIVE CASH FLOW</t>
  </si>
  <si>
    <t>Sum of FCI and TDC</t>
  </si>
  <si>
    <t>Processing Plant Type</t>
  </si>
  <si>
    <t>Processing Type</t>
  </si>
  <si>
    <t>Solids</t>
  </si>
  <si>
    <t>Solids-Fluids</t>
  </si>
  <si>
    <t>Fluids</t>
  </si>
  <si>
    <t>Delivered Cost of Process Equipment</t>
  </si>
  <si>
    <t>Installation</t>
  </si>
  <si>
    <t>Instrumentation and control</t>
  </si>
  <si>
    <t>Piping</t>
  </si>
  <si>
    <t>Electrical</t>
  </si>
  <si>
    <t>Buildings (including services)</t>
  </si>
  <si>
    <t>Yard improvements</t>
  </si>
  <si>
    <t>Service facilities</t>
  </si>
  <si>
    <t>Total Direct Plant Cost</t>
  </si>
  <si>
    <t>Engineering and supervision</t>
  </si>
  <si>
    <t>Construction expenses</t>
  </si>
  <si>
    <t>Total Direct and Indirect Plant Costs</t>
  </si>
  <si>
    <t>Contractor's fee and legal expenses</t>
  </si>
  <si>
    <t>Fixed Capital Investment</t>
  </si>
  <si>
    <t>Total Direct Permanent Investment (DPI) .........................................................................................................</t>
  </si>
  <si>
    <t>Lang Factor Table</t>
  </si>
  <si>
    <t>Lang Factor</t>
  </si>
  <si>
    <t>Column No.</t>
  </si>
  <si>
    <t>Lang Factor Approach due to Peters, Timmerhaus and West, 2003, from Table 22.17 in Seider, et al.</t>
  </si>
  <si>
    <t>==================================================================================================</t>
  </si>
  <si>
    <t>Cost of Service Facilities</t>
  </si>
  <si>
    <t>Bare Module Total Depreciable Capital (TDC)..............................................................................................</t>
  </si>
  <si>
    <t>CAPITAL COST ESTIMATE</t>
  </si>
  <si>
    <t xml:space="preserve"> </t>
  </si>
  <si>
    <t>Biomass Gasificiation</t>
  </si>
  <si>
    <t>Methanol</t>
  </si>
  <si>
    <t>Gal</t>
  </si>
  <si>
    <t>Methanol Reactor</t>
  </si>
  <si>
    <t>Zinc Reactor</t>
  </si>
  <si>
    <t>Solar Reactor</t>
  </si>
  <si>
    <t>4*heat exchanger price</t>
  </si>
  <si>
    <t>kg</t>
  </si>
  <si>
    <t>calc in canvas</t>
  </si>
  <si>
    <t>m^3</t>
  </si>
  <si>
    <t>Heat Exchanger 1</t>
  </si>
  <si>
    <t>Heat Exchanger 2</t>
  </si>
  <si>
    <t>Heat Exchanger 3</t>
  </si>
  <si>
    <t>PUMP 1</t>
  </si>
  <si>
    <t>PUMP 2</t>
  </si>
  <si>
    <t xml:space="preserve">Cyclone </t>
  </si>
  <si>
    <t>Compressor</t>
  </si>
  <si>
    <t xml:space="preserve">Flash Seperator </t>
  </si>
  <si>
    <t>Distilation Column</t>
  </si>
  <si>
    <t xml:space="preserve">Mirrors </t>
  </si>
  <si>
    <t xml:space="preserve">Concentrator Mirror </t>
  </si>
  <si>
    <t>Tower</t>
  </si>
  <si>
    <t>Filter</t>
  </si>
  <si>
    <t>Screen</t>
  </si>
  <si>
    <t>biomass</t>
  </si>
  <si>
    <t>methane</t>
  </si>
  <si>
    <t>water</t>
  </si>
  <si>
    <t>ZnO</t>
  </si>
  <si>
    <t>INGREDIENT NO. 5</t>
  </si>
  <si>
    <t>carbon credit</t>
  </si>
  <si>
    <t>LANDFILL</t>
  </si>
  <si>
    <t>X Variable</t>
  </si>
  <si>
    <t>Y Variable</t>
  </si>
  <si>
    <t xml:space="preserve"> Sensitivity Analysis </t>
  </si>
  <si>
    <t>Cost of Biomass</t>
  </si>
  <si>
    <t>Selling Price of Methanol</t>
  </si>
  <si>
    <t>Cost of Methane</t>
  </si>
  <si>
    <t>Number of Operators</t>
  </si>
  <si>
    <t>Selling Price of Methanol ($/Unit)</t>
  </si>
  <si>
    <t>%IRR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</si>
</sst>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0_)"/>
    <numFmt numFmtId="166" formatCode="0.0"/>
    <numFmt numFmtId="167" formatCode="0.0_)"/>
    <numFmt numFmtId="168" formatCode="0.000"/>
    <numFmt numFmtId="169" formatCode="&quot;$&quot;#,##0.000"/>
    <numFmt numFmtId="170" formatCode="&quot;$&quot;#,##0.00"/>
    <numFmt numFmtId="171" formatCode="0.00000"/>
    <numFmt numFmtId="172" formatCode="&quot;$&quot;#,##0"/>
    <numFmt numFmtId="173" formatCode="&quot;$&quot;#,##0.000_);[Red]\(&quot;$&quot;#,##0.000\)"/>
    <numFmt numFmtId="174" formatCode="0.0E+00;\㉠"/>
    <numFmt numFmtId="175" formatCode="#,##0.0"/>
    <numFmt numFmtId="176" formatCode="_(&quot;$&quot;* #,##0.0000_);_(&quot;$&quot;* \(#,##0.0000\);_(&quot;$&quot;* &quot;-&quot;??_);_(@_)"/>
    <numFmt numFmtId="177" formatCode="m/d/yy;@"/>
    <numFmt numFmtId="178" formatCode="0.0000"/>
  </numFmts>
  <fonts count="2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sz val="10"/>
      <name val="Arial"/>
      <family val="2"/>
    </font>
    <font>
      <b/>
      <sz val="18"/>
      <color indexed="8"/>
      <name val="Arial"/>
      <family val="2"/>
    </font>
    <font>
      <b/>
      <sz val="10"/>
      <color indexed="8"/>
      <name val="Arial"/>
      <family val="2"/>
    </font>
    <font>
      <u/>
      <sz val="10"/>
      <name val="Arial"/>
      <family val="2"/>
    </font>
    <font>
      <sz val="10"/>
      <color indexed="8"/>
      <name val="Helv"/>
    </font>
    <font>
      <sz val="14"/>
      <color indexed="8"/>
      <name val="Helv"/>
    </font>
    <font>
      <b/>
      <sz val="14"/>
      <color indexed="8"/>
      <name val="Helv"/>
    </font>
    <font>
      <u/>
      <sz val="10"/>
      <color indexed="8"/>
      <name val="Helv"/>
    </font>
    <font>
      <b/>
      <sz val="10"/>
      <color indexed="8"/>
      <name val="Helv"/>
    </font>
    <font>
      <b/>
      <sz val="14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u/>
      <sz val="10"/>
      <name val="Arial"/>
      <family val="2"/>
    </font>
    <font>
      <b/>
      <sz val="14"/>
      <color rgb="FF000000"/>
      <name val="Arial"/>
      <family val="2"/>
    </font>
    <font>
      <sz val="12"/>
      <color theme="1"/>
      <name val="Calibri"/>
      <family val="2"/>
      <scheme val="minor"/>
    </font>
    <font>
      <sz val="2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22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49"/>
      </patternFill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49"/>
      </patternFill>
    </fill>
    <fill>
      <patternFill patternType="solid">
        <fgColor indexed="15"/>
        <bgColor indexed="43"/>
      </patternFill>
    </fill>
    <fill>
      <patternFill patternType="solid">
        <fgColor indexed="22"/>
        <bgColor indexed="43"/>
      </patternFill>
    </fill>
    <fill>
      <patternFill patternType="solid">
        <fgColor indexed="14"/>
        <bgColor indexed="49"/>
      </patternFill>
    </fill>
    <fill>
      <patternFill patternType="solid">
        <fgColor indexed="43"/>
        <bgColor indexed="43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43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9" fillId="0" borderId="0"/>
  </cellStyleXfs>
  <cellXfs count="193">
    <xf numFmtId="0" fontId="0" fillId="0" borderId="0" xfId="0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164" fontId="0" fillId="0" borderId="0" xfId="2" applyNumberFormat="1" applyFont="1"/>
    <xf numFmtId="0" fontId="0" fillId="3" borderId="1" xfId="0" applyFill="1" applyBorder="1"/>
    <xf numFmtId="0" fontId="0" fillId="4" borderId="1" xfId="0" applyFill="1" applyBorder="1" applyAlignment="1">
      <alignment horizontal="right"/>
    </xf>
    <xf numFmtId="0" fontId="4" fillId="0" borderId="0" xfId="0" quotePrefix="1" applyFont="1" applyAlignment="1">
      <alignment horizontal="left"/>
    </xf>
    <xf numFmtId="0" fontId="4" fillId="0" borderId="0" xfId="0" quotePrefix="1" applyFont="1" applyAlignment="1">
      <alignment horizontal="left" vertical="center"/>
    </xf>
    <xf numFmtId="0" fontId="4" fillId="0" borderId="0" xfId="0" applyFont="1" applyAlignment="1">
      <alignment horizontal="centerContinuous"/>
    </xf>
    <xf numFmtId="0" fontId="4" fillId="0" borderId="0" xfId="0" applyFont="1"/>
    <xf numFmtId="0" fontId="4" fillId="3" borderId="1" xfId="0" applyFont="1" applyFill="1" applyBorder="1" applyAlignment="1">
      <alignment horizontal="centerContinuous"/>
    </xf>
    <xf numFmtId="0" fontId="4" fillId="5" borderId="1" xfId="0" applyFont="1" applyFill="1" applyBorder="1" applyAlignment="1">
      <alignment horizontal="centerContinuous"/>
    </xf>
    <xf numFmtId="9" fontId="0" fillId="3" borderId="1" xfId="2" applyFont="1" applyFill="1" applyBorder="1"/>
    <xf numFmtId="0" fontId="5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165" fontId="0" fillId="0" borderId="0" xfId="0" applyNumberFormat="1"/>
    <xf numFmtId="165" fontId="0" fillId="6" borderId="2" xfId="0" applyNumberFormat="1" applyFill="1" applyBorder="1"/>
    <xf numFmtId="0" fontId="7" fillId="0" borderId="0" xfId="0" applyFont="1"/>
    <xf numFmtId="5" fontId="4" fillId="5" borderId="1" xfId="0" applyNumberFormat="1" applyFont="1" applyFill="1" applyBorder="1" applyAlignment="1">
      <alignment horizontal="centerContinuous"/>
    </xf>
    <xf numFmtId="5" fontId="0" fillId="6" borderId="2" xfId="0" applyNumberFormat="1" applyFill="1" applyBorder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2" borderId="2" xfId="0" applyFont="1" applyFill="1" applyBorder="1"/>
    <xf numFmtId="0" fontId="8" fillId="7" borderId="2" xfId="0" applyFont="1" applyFill="1" applyBorder="1"/>
    <xf numFmtId="9" fontId="8" fillId="0" borderId="0" xfId="0" applyNumberFormat="1" applyFont="1"/>
    <xf numFmtId="37" fontId="0" fillId="0" borderId="0" xfId="0" applyNumberFormat="1"/>
    <xf numFmtId="0" fontId="13" fillId="0" borderId="0" xfId="0" applyFont="1"/>
    <xf numFmtId="3" fontId="3" fillId="0" borderId="0" xfId="0" applyNumberFormat="1" applyFont="1" applyAlignment="1">
      <alignment horizontal="centerContinuous"/>
    </xf>
    <xf numFmtId="3" fontId="0" fillId="0" borderId="0" xfId="0" applyNumberFormat="1" applyAlignment="1">
      <alignment horizontal="right"/>
    </xf>
    <xf numFmtId="3" fontId="0" fillId="0" borderId="0" xfId="0" applyNumberFormat="1"/>
    <xf numFmtId="3" fontId="0" fillId="8" borderId="3" xfId="0" applyNumberFormat="1" applyFill="1" applyBorder="1" applyAlignment="1">
      <alignment horizontal="right"/>
    </xf>
    <xf numFmtId="3" fontId="0" fillId="0" borderId="0" xfId="0" applyNumberFormat="1" applyAlignment="1">
      <alignment horizontal="centerContinuous"/>
    </xf>
    <xf numFmtId="3" fontId="0" fillId="0" borderId="4" xfId="0" applyNumberFormat="1" applyBorder="1" applyAlignment="1">
      <alignment horizontal="centerContinuous"/>
    </xf>
    <xf numFmtId="3" fontId="0" fillId="4" borderId="1" xfId="0" applyNumberFormat="1" applyFill="1" applyBorder="1" applyAlignment="1">
      <alignment horizontal="right"/>
    </xf>
    <xf numFmtId="3" fontId="0" fillId="0" borderId="0" xfId="0" applyNumberFormat="1" applyAlignment="1">
      <alignment horizontal="left"/>
    </xf>
    <xf numFmtId="3" fontId="0" fillId="9" borderId="1" xfId="0" applyNumberFormat="1" applyFill="1" applyBorder="1"/>
    <xf numFmtId="3" fontId="0" fillId="9" borderId="5" xfId="0" applyNumberFormat="1" applyFill="1" applyBorder="1"/>
    <xf numFmtId="164" fontId="0" fillId="9" borderId="1" xfId="2" applyNumberFormat="1" applyFont="1" applyFill="1" applyBorder="1"/>
    <xf numFmtId="3" fontId="8" fillId="7" borderId="2" xfId="0" applyNumberFormat="1" applyFont="1" applyFill="1" applyBorder="1"/>
    <xf numFmtId="3" fontId="8" fillId="0" borderId="0" xfId="0" applyNumberFormat="1" applyFont="1"/>
    <xf numFmtId="3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right"/>
    </xf>
    <xf numFmtId="3" fontId="11" fillId="0" borderId="0" xfId="0" applyNumberFormat="1" applyFont="1" applyAlignment="1">
      <alignment horizontal="center"/>
    </xf>
    <xf numFmtId="3" fontId="12" fillId="7" borderId="2" xfId="0" applyNumberFormat="1" applyFont="1" applyFill="1" applyBorder="1"/>
    <xf numFmtId="9" fontId="0" fillId="0" borderId="0" xfId="0" applyNumberFormat="1"/>
    <xf numFmtId="0" fontId="14" fillId="0" borderId="0" xfId="0" applyFont="1"/>
    <xf numFmtId="5" fontId="8" fillId="7" borderId="2" xfId="0" applyNumberFormat="1" applyFont="1" applyFill="1" applyBorder="1"/>
    <xf numFmtId="9" fontId="0" fillId="3" borderId="1" xfId="0" applyNumberFormat="1" applyFill="1" applyBorder="1" applyAlignment="1">
      <alignment horizontal="center"/>
    </xf>
    <xf numFmtId="165" fontId="0" fillId="10" borderId="2" xfId="0" applyNumberFormat="1" applyFill="1" applyBorder="1"/>
    <xf numFmtId="165" fontId="0" fillId="0" borderId="6" xfId="0" applyNumberFormat="1" applyBorder="1"/>
    <xf numFmtId="165" fontId="0" fillId="3" borderId="2" xfId="0" applyNumberFormat="1" applyFill="1" applyBorder="1"/>
    <xf numFmtId="165" fontId="0" fillId="11" borderId="2" xfId="0" applyNumberFormat="1" applyFill="1" applyBorder="1"/>
    <xf numFmtId="165" fontId="0" fillId="12" borderId="2" xfId="0" applyNumberFormat="1" applyFill="1" applyBorder="1"/>
    <xf numFmtId="165" fontId="0" fillId="13" borderId="2" xfId="0" applyNumberFormat="1" applyFill="1" applyBorder="1"/>
    <xf numFmtId="165" fontId="0" fillId="13" borderId="1" xfId="0" applyNumberFormat="1" applyFill="1" applyBorder="1"/>
    <xf numFmtId="9" fontId="8" fillId="0" borderId="0" xfId="0" applyNumberFormat="1" applyFont="1" applyAlignment="1">
      <alignment horizontal="center"/>
    </xf>
    <xf numFmtId="169" fontId="4" fillId="5" borderId="1" xfId="0" applyNumberFormat="1" applyFont="1" applyFill="1" applyBorder="1" applyAlignment="1">
      <alignment horizontal="centerContinuous"/>
    </xf>
    <xf numFmtId="168" fontId="4" fillId="5" borderId="1" xfId="0" applyNumberFormat="1" applyFont="1" applyFill="1" applyBorder="1" applyAlignment="1">
      <alignment horizontal="centerContinuous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right"/>
    </xf>
    <xf numFmtId="166" fontId="0" fillId="9" borderId="1" xfId="2" applyNumberFormat="1" applyFont="1" applyFill="1" applyBorder="1"/>
    <xf numFmtId="164" fontId="0" fillId="14" borderId="2" xfId="0" applyNumberFormat="1" applyFill="1" applyBorder="1" applyProtection="1">
      <protection locked="0"/>
    </xf>
    <xf numFmtId="5" fontId="0" fillId="14" borderId="2" xfId="0" applyNumberFormat="1" applyFill="1" applyBorder="1" applyProtection="1">
      <protection locked="0"/>
    </xf>
    <xf numFmtId="9" fontId="0" fillId="3" borderId="1" xfId="0" applyNumberFormat="1" applyFill="1" applyBorder="1" applyAlignment="1" applyProtection="1">
      <alignment horizontal="center"/>
      <protection locked="0"/>
    </xf>
    <xf numFmtId="170" fontId="0" fillId="4" borderId="1" xfId="0" applyNumberFormat="1" applyFill="1" applyBorder="1" applyAlignment="1">
      <alignment horizontal="right"/>
    </xf>
    <xf numFmtId="0" fontId="11" fillId="0" borderId="0" xfId="0" applyFont="1"/>
    <xf numFmtId="0" fontId="12" fillId="0" borderId="0" xfId="0" applyFont="1"/>
    <xf numFmtId="164" fontId="0" fillId="14" borderId="7" xfId="0" applyNumberFormat="1" applyFill="1" applyBorder="1"/>
    <xf numFmtId="164" fontId="0" fillId="6" borderId="1" xfId="0" applyNumberFormat="1" applyFill="1" applyBorder="1"/>
    <xf numFmtId="164" fontId="0" fillId="14" borderId="1" xfId="0" applyNumberFormat="1" applyFill="1" applyBorder="1"/>
    <xf numFmtId="0" fontId="15" fillId="0" borderId="0" xfId="0" applyFont="1"/>
    <xf numFmtId="165" fontId="0" fillId="12" borderId="9" xfId="0" applyNumberFormat="1" applyFill="1" applyBorder="1"/>
    <xf numFmtId="165" fontId="0" fillId="11" borderId="9" xfId="0" applyNumberFormat="1" applyFill="1" applyBorder="1"/>
    <xf numFmtId="165" fontId="0" fillId="6" borderId="9" xfId="0" applyNumberFormat="1" applyFill="1" applyBorder="1"/>
    <xf numFmtId="165" fontId="0" fillId="13" borderId="9" xfId="0" applyNumberFormat="1" applyFill="1" applyBorder="1"/>
    <xf numFmtId="165" fontId="0" fillId="13" borderId="8" xfId="0" applyNumberFormat="1" applyFill="1" applyBorder="1"/>
    <xf numFmtId="8" fontId="0" fillId="0" borderId="0" xfId="0" applyNumberFormat="1"/>
    <xf numFmtId="10" fontId="0" fillId="0" borderId="0" xfId="0" applyNumberFormat="1"/>
    <xf numFmtId="10" fontId="0" fillId="0" borderId="0" xfId="2" applyNumberFormat="1" applyFont="1"/>
    <xf numFmtId="0" fontId="0" fillId="9" borderId="1" xfId="0" applyFill="1" applyBorder="1"/>
    <xf numFmtId="164" fontId="0" fillId="3" borderId="2" xfId="2" applyNumberFormat="1" applyFont="1" applyFill="1" applyBorder="1" applyProtection="1"/>
    <xf numFmtId="8" fontId="0" fillId="9" borderId="1" xfId="0" applyNumberFormat="1" applyFill="1" applyBorder="1"/>
    <xf numFmtId="0" fontId="0" fillId="15" borderId="1" xfId="0" applyFill="1" applyBorder="1"/>
    <xf numFmtId="1" fontId="8" fillId="0" borderId="0" xfId="0" applyNumberFormat="1" applyFont="1"/>
    <xf numFmtId="165" fontId="0" fillId="12" borderId="1" xfId="0" applyNumberFormat="1" applyFill="1" applyBorder="1" applyAlignment="1">
      <alignment horizontal="center"/>
    </xf>
    <xf numFmtId="165" fontId="0" fillId="11" borderId="1" xfId="0" applyNumberFormat="1" applyFill="1" applyBorder="1" applyAlignment="1">
      <alignment horizontal="center"/>
    </xf>
    <xf numFmtId="165" fontId="0" fillId="13" borderId="1" xfId="0" applyNumberFormat="1" applyFill="1" applyBorder="1" applyAlignment="1">
      <alignment horizontal="center"/>
    </xf>
    <xf numFmtId="1" fontId="0" fillId="0" borderId="0" xfId="0" applyNumberFormat="1"/>
    <xf numFmtId="170" fontId="0" fillId="16" borderId="2" xfId="0" applyNumberFormat="1" applyFill="1" applyBorder="1" applyAlignment="1" applyProtection="1">
      <alignment horizontal="center"/>
      <protection locked="0"/>
    </xf>
    <xf numFmtId="9" fontId="0" fillId="3" borderId="10" xfId="0" applyNumberFormat="1" applyFill="1" applyBorder="1" applyAlignment="1" applyProtection="1">
      <alignment horizontal="center"/>
      <protection locked="0"/>
    </xf>
    <xf numFmtId="165" fontId="0" fillId="13" borderId="11" xfId="0" applyNumberFormat="1" applyFill="1" applyBorder="1"/>
    <xf numFmtId="7" fontId="0" fillId="0" borderId="0" xfId="0" applyNumberFormat="1" applyAlignment="1">
      <alignment horizontal="center"/>
    </xf>
    <xf numFmtId="174" fontId="8" fillId="0" borderId="0" xfId="0" applyNumberFormat="1" applyFont="1"/>
    <xf numFmtId="9" fontId="0" fillId="0" borderId="0" xfId="0" applyNumberFormat="1" applyAlignment="1" applyProtection="1">
      <alignment horizontal="center"/>
      <protection locked="0"/>
    </xf>
    <xf numFmtId="165" fontId="0" fillId="12" borderId="1" xfId="0" applyNumberFormat="1" applyFill="1" applyBorder="1"/>
    <xf numFmtId="165" fontId="0" fillId="11" borderId="1" xfId="0" applyNumberFormat="1" applyFill="1" applyBorder="1"/>
    <xf numFmtId="165" fontId="0" fillId="6" borderId="1" xfId="0" applyNumberFormat="1" applyFill="1" applyBorder="1"/>
    <xf numFmtId="165" fontId="0" fillId="10" borderId="12" xfId="0" applyNumberFormat="1" applyFill="1" applyBorder="1"/>
    <xf numFmtId="9" fontId="0" fillId="0" borderId="0" xfId="2" applyFont="1" applyProtection="1"/>
    <xf numFmtId="9" fontId="0" fillId="0" borderId="0" xfId="2" applyFont="1"/>
    <xf numFmtId="9" fontId="0" fillId="0" borderId="0" xfId="2" applyFont="1" applyFill="1" applyBorder="1"/>
    <xf numFmtId="3" fontId="0" fillId="0" borderId="0" xfId="0" applyNumberFormat="1" applyAlignment="1">
      <alignment horizontal="center"/>
    </xf>
    <xf numFmtId="175" fontId="0" fillId="0" borderId="0" xfId="0" applyNumberFormat="1"/>
    <xf numFmtId="6" fontId="0" fillId="0" borderId="0" xfId="0" applyNumberFormat="1"/>
    <xf numFmtId="173" fontId="0" fillId="0" borderId="0" xfId="0" applyNumberFormat="1"/>
    <xf numFmtId="44" fontId="0" fillId="0" borderId="0" xfId="1" applyFont="1" applyFill="1" applyBorder="1"/>
    <xf numFmtId="44" fontId="0" fillId="0" borderId="0" xfId="0" applyNumberFormat="1"/>
    <xf numFmtId="2" fontId="0" fillId="0" borderId="0" xfId="0" applyNumberFormat="1" applyAlignment="1">
      <alignment horizontal="right"/>
    </xf>
    <xf numFmtId="170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/>
    </xf>
    <xf numFmtId="0" fontId="17" fillId="0" borderId="0" xfId="0" applyFont="1"/>
    <xf numFmtId="0" fontId="16" fillId="0" borderId="0" xfId="0" applyFont="1" applyAlignment="1">
      <alignment horizontal="left" vertical="center" wrapText="1"/>
    </xf>
    <xf numFmtId="0" fontId="0" fillId="17" borderId="13" xfId="0" applyFill="1" applyBorder="1"/>
    <xf numFmtId="0" fontId="0" fillId="17" borderId="1" xfId="0" applyFill="1" applyBorder="1"/>
    <xf numFmtId="38" fontId="8" fillId="2" borderId="2" xfId="0" applyNumberFormat="1" applyFont="1" applyFill="1" applyBorder="1" applyProtection="1">
      <protection locked="0"/>
    </xf>
    <xf numFmtId="177" fontId="8" fillId="7" borderId="2" xfId="0" applyNumberFormat="1" applyFont="1" applyFill="1" applyBorder="1"/>
    <xf numFmtId="0" fontId="8" fillId="2" borderId="2" xfId="0" applyFont="1" applyFill="1" applyBorder="1" applyProtection="1">
      <protection locked="0"/>
    </xf>
    <xf numFmtId="0" fontId="8" fillId="2" borderId="1" xfId="0" applyFont="1" applyFill="1" applyBorder="1" applyProtection="1">
      <protection locked="0"/>
    </xf>
    <xf numFmtId="3" fontId="8" fillId="2" borderId="2" xfId="0" applyNumberFormat="1" applyFont="1" applyFill="1" applyBorder="1" applyProtection="1">
      <protection locked="0"/>
    </xf>
    <xf numFmtId="9" fontId="8" fillId="2" borderId="2" xfId="0" applyNumberFormat="1" applyFont="1" applyFill="1" applyBorder="1" applyProtection="1">
      <protection locked="0"/>
    </xf>
    <xf numFmtId="1" fontId="8" fillId="2" borderId="2" xfId="0" applyNumberFormat="1" applyFont="1" applyFill="1" applyBorder="1" applyProtection="1">
      <protection locked="0"/>
    </xf>
    <xf numFmtId="164" fontId="8" fillId="2" borderId="2" xfId="0" applyNumberFormat="1" applyFont="1" applyFill="1" applyBorder="1" applyProtection="1">
      <protection locked="0"/>
    </xf>
    <xf numFmtId="167" fontId="8" fillId="2" borderId="2" xfId="0" applyNumberFormat="1" applyFont="1" applyFill="1" applyBorder="1" applyProtection="1">
      <protection locked="0"/>
    </xf>
    <xf numFmtId="3" fontId="0" fillId="3" borderId="1" xfId="0" applyNumberFormat="1" applyFill="1" applyBorder="1" applyProtection="1">
      <protection locked="0"/>
    </xf>
    <xf numFmtId="4" fontId="0" fillId="3" borderId="1" xfId="0" applyNumberFormat="1" applyFill="1" applyBorder="1" applyProtection="1">
      <protection locked="0"/>
    </xf>
    <xf numFmtId="164" fontId="0" fillId="3" borderId="1" xfId="2" applyNumberFormat="1" applyFont="1" applyFill="1" applyBorder="1" applyProtection="1">
      <protection locked="0"/>
    </xf>
    <xf numFmtId="3" fontId="4" fillId="3" borderId="1" xfId="0" applyNumberFormat="1" applyFont="1" applyFill="1" applyBorder="1" applyAlignment="1" applyProtection="1">
      <alignment horizontal="centerContinuous"/>
      <protection locked="0"/>
    </xf>
    <xf numFmtId="0" fontId="4" fillId="3" borderId="1" xfId="0" applyFont="1" applyFill="1" applyBorder="1" applyAlignment="1" applyProtection="1">
      <alignment horizontal="center"/>
      <protection locked="0"/>
    </xf>
    <xf numFmtId="2" fontId="4" fillId="3" borderId="1" xfId="0" applyNumberFormat="1" applyFont="1" applyFill="1" applyBorder="1" applyAlignment="1" applyProtection="1">
      <alignment horizontal="center"/>
      <protection locked="0"/>
    </xf>
    <xf numFmtId="171" fontId="4" fillId="3" borderId="1" xfId="0" applyNumberFormat="1" applyFont="1" applyFill="1" applyBorder="1" applyAlignment="1" applyProtection="1">
      <alignment horizontal="center"/>
      <protection locked="0"/>
    </xf>
    <xf numFmtId="166" fontId="4" fillId="3" borderId="1" xfId="0" applyNumberFormat="1" applyFont="1" applyFill="1" applyBorder="1" applyAlignment="1" applyProtection="1">
      <alignment horizontal="center"/>
      <protection locked="0"/>
    </xf>
    <xf numFmtId="0" fontId="4" fillId="3" borderId="1" xfId="0" applyFont="1" applyFill="1" applyBorder="1" applyAlignment="1" applyProtection="1">
      <alignment horizontal="centerContinuous"/>
      <protection locked="0"/>
    </xf>
    <xf numFmtId="168" fontId="4" fillId="3" borderId="1" xfId="0" applyNumberFormat="1" applyFont="1" applyFill="1" applyBorder="1" applyAlignment="1" applyProtection="1">
      <alignment horizontal="center"/>
      <protection locked="0"/>
    </xf>
    <xf numFmtId="0" fontId="0" fillId="4" borderId="1" xfId="0" applyFill="1" applyBorder="1" applyAlignment="1">
      <alignment horizontal="center"/>
    </xf>
    <xf numFmtId="37" fontId="0" fillId="3" borderId="1" xfId="0" applyNumberFormat="1" applyFill="1" applyBorder="1" applyProtection="1">
      <protection locked="0"/>
    </xf>
    <xf numFmtId="6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5" fontId="0" fillId="3" borderId="1" xfId="0" applyNumberFormat="1" applyFill="1" applyBorder="1" applyProtection="1">
      <protection locked="0"/>
    </xf>
    <xf numFmtId="9" fontId="0" fillId="3" borderId="1" xfId="2" applyFont="1" applyFill="1" applyBorder="1" applyProtection="1">
      <protection locked="0"/>
    </xf>
    <xf numFmtId="176" fontId="0" fillId="3" borderId="1" xfId="1" applyNumberFormat="1" applyFont="1" applyFill="1" applyBorder="1" applyProtection="1">
      <protection locked="0"/>
    </xf>
    <xf numFmtId="10" fontId="0" fillId="3" borderId="1" xfId="2" applyNumberFormat="1" applyFont="1" applyFill="1" applyBorder="1" applyProtection="1">
      <protection locked="0"/>
    </xf>
    <xf numFmtId="9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  <xf numFmtId="2" fontId="0" fillId="17" borderId="13" xfId="0" applyNumberFormat="1" applyFill="1" applyBorder="1" applyAlignment="1">
      <alignment horizontal="right" indent="1"/>
    </xf>
    <xf numFmtId="2" fontId="0" fillId="17" borderId="1" xfId="0" applyNumberFormat="1" applyFill="1" applyBorder="1" applyAlignment="1">
      <alignment horizontal="right" indent="1"/>
    </xf>
    <xf numFmtId="9" fontId="0" fillId="17" borderId="1" xfId="2" applyFont="1" applyFill="1" applyBorder="1" applyAlignment="1">
      <alignment horizontal="right" indent="1"/>
    </xf>
    <xf numFmtId="0" fontId="2" fillId="17" borderId="18" xfId="0" applyFont="1" applyFill="1" applyBorder="1" applyAlignment="1">
      <alignment horizontal="center"/>
    </xf>
    <xf numFmtId="0" fontId="2" fillId="0" borderId="0" xfId="0" applyFont="1"/>
    <xf numFmtId="9" fontId="8" fillId="19" borderId="2" xfId="2" applyFont="1" applyFill="1" applyBorder="1" applyProtection="1">
      <protection locked="0"/>
    </xf>
    <xf numFmtId="0" fontId="2" fillId="20" borderId="13" xfId="0" applyFont="1" applyFill="1" applyBorder="1"/>
    <xf numFmtId="0" fontId="2" fillId="20" borderId="1" xfId="0" applyFont="1" applyFill="1" applyBorder="1"/>
    <xf numFmtId="0" fontId="2" fillId="21" borderId="18" xfId="0" applyFont="1" applyFill="1" applyBorder="1"/>
    <xf numFmtId="0" fontId="2" fillId="20" borderId="0" xfId="0" applyFont="1" applyFill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8" fillId="2" borderId="1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 indent="1"/>
    </xf>
    <xf numFmtId="0" fontId="2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right" indent="1"/>
      <protection hidden="1"/>
    </xf>
    <xf numFmtId="0" fontId="2" fillId="0" borderId="0" xfId="0" quotePrefix="1" applyFont="1"/>
    <xf numFmtId="9" fontId="8" fillId="7" borderId="2" xfId="2" applyFont="1" applyFill="1" applyBorder="1" applyProtection="1"/>
    <xf numFmtId="0" fontId="0" fillId="18" borderId="14" xfId="0" applyFill="1" applyBorder="1" applyAlignment="1">
      <alignment horizontal="center"/>
    </xf>
    <xf numFmtId="0" fontId="0" fillId="18" borderId="15" xfId="0" applyFill="1" applyBorder="1" applyAlignment="1">
      <alignment horizontal="center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0" borderId="0" xfId="3" applyFont="1"/>
    <xf numFmtId="0" fontId="8" fillId="2" borderId="2" xfId="3" applyFont="1" applyFill="1" applyBorder="1" applyProtection="1">
      <protection locked="0"/>
    </xf>
    <xf numFmtId="1" fontId="8" fillId="2" borderId="2" xfId="3" applyNumberFormat="1" applyFont="1" applyFill="1" applyBorder="1" applyProtection="1">
      <protection locked="0"/>
    </xf>
    <xf numFmtId="3" fontId="0" fillId="19" borderId="1" xfId="0" applyNumberFormat="1" applyFill="1" applyBorder="1"/>
    <xf numFmtId="178" fontId="4" fillId="3" borderId="1" xfId="0" applyNumberFormat="1" applyFont="1" applyFill="1" applyBorder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2" fontId="2" fillId="3" borderId="1" xfId="0" applyNumberFormat="1" applyFont="1" applyFill="1" applyBorder="1" applyAlignment="1" applyProtection="1">
      <alignment horizontal="center"/>
      <protection locked="0"/>
    </xf>
    <xf numFmtId="0" fontId="0" fillId="22" borderId="0" xfId="0" applyFill="1" applyAlignment="1">
      <alignment horizontal="center"/>
    </xf>
    <xf numFmtId="0" fontId="20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7" fontId="0" fillId="0" borderId="1" xfId="0" applyNumberFormat="1" applyBorder="1" applyAlignment="1">
      <alignment horizontal="center"/>
    </xf>
    <xf numFmtId="3" fontId="8" fillId="2" borderId="9" xfId="0" applyNumberFormat="1" applyFont="1" applyFill="1" applyBorder="1" applyAlignment="1" applyProtection="1">
      <alignment horizontal="center"/>
      <protection locked="0"/>
    </xf>
    <xf numFmtId="3" fontId="8" fillId="2" borderId="11" xfId="0" applyNumberFormat="1" applyFont="1" applyFill="1" applyBorder="1" applyAlignment="1" applyProtection="1">
      <alignment horizontal="center"/>
      <protection locked="0"/>
    </xf>
    <xf numFmtId="0" fontId="8" fillId="2" borderId="9" xfId="0" applyFont="1" applyFill="1" applyBorder="1" applyAlignment="1" applyProtection="1">
      <alignment horizontal="center"/>
      <protection locked="0"/>
    </xf>
    <xf numFmtId="0" fontId="8" fillId="2" borderId="16" xfId="0" applyFont="1" applyFill="1" applyBorder="1" applyAlignment="1" applyProtection="1">
      <alignment horizontal="center"/>
      <protection locked="0"/>
    </xf>
    <xf numFmtId="0" fontId="8" fillId="2" borderId="11" xfId="0" applyFont="1" applyFill="1" applyBorder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17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</cellXfs>
  <cellStyles count="4">
    <cellStyle name="Currency" xfId="1" builtinId="4"/>
    <cellStyle name="Normal" xfId="0" builtinId="0"/>
    <cellStyle name="Normal 2" xfId="3" xr:uid="{D6529030-1C18-46EC-9B30-0364FC5F04DC}"/>
    <cellStyle name="Percent" xfId="2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6.xml"/><Relationship Id="rId23" Type="http://schemas.microsoft.com/office/2006/relationships/vbaProject" Target="vbaProject.bin"/><Relationship Id="rId10" Type="http://schemas.openxmlformats.org/officeDocument/2006/relationships/chartsheet" Target="chartsheets/sheet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5.xml"/><Relationship Id="rId22" Type="http://schemas.openxmlformats.org/officeDocument/2006/relationships/customXml" Target="../customXml/item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%IRR and Methanol Selling Price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1.6138564769825021E-2"/>
          <c:y val="9.9031581573983105E-2"/>
          <c:w val="0.91696390737642153"/>
          <c:h val="0.77810528379558153"/>
        </c:manualLayout>
      </c:layout>
      <c:scatterChart>
        <c:scatterStyle val="lineMarker"/>
        <c:varyColors val="0"/>
        <c:ser>
          <c:idx val="0"/>
          <c:order val="0"/>
          <c:tx>
            <c:v>%IRR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'S4'!$A$11:$A$15</c:f>
              <c:numCache>
                <c:formatCode>General</c:formatCode>
                <c:ptCount val="5"/>
                <c:pt idx="0">
                  <c:v>1.2500002980232239E-2</c:v>
                </c:pt>
                <c:pt idx="1">
                  <c:v>6.2500003725290298E-2</c:v>
                </c:pt>
                <c:pt idx="2">
                  <c:v>0.11250000447034836</c:v>
                </c:pt>
                <c:pt idx="3">
                  <c:v>0.16250000521540642</c:v>
                </c:pt>
                <c:pt idx="4">
                  <c:v>0.21250000596046448</c:v>
                </c:pt>
              </c:numCache>
            </c:numRef>
          </c:xVal>
          <c:yVal>
            <c:numRef>
              <c:f>'S4'!$B$11:$B$15</c:f>
              <c:numCache>
                <c:formatCode>"$"#,##0.00_);\("$"#,##0.00\)</c:formatCode>
                <c:ptCount val="5"/>
                <c:pt idx="0">
                  <c:v>2.42</c:v>
                </c:pt>
                <c:pt idx="1">
                  <c:v>2.4500000000000002</c:v>
                </c:pt>
                <c:pt idx="2">
                  <c:v>2.48</c:v>
                </c:pt>
                <c:pt idx="3">
                  <c:v>2.52</c:v>
                </c:pt>
                <c:pt idx="4">
                  <c:v>2.57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6-4C97-9A5C-8978B124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876719"/>
        <c:axId val="1609879631"/>
      </c:scatterChart>
      <c:valAx>
        <c:axId val="16098767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%IRR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09879631"/>
        <c:crosses val="autoZero"/>
        <c:crossBetween val="midCat"/>
      </c:valAx>
      <c:valAx>
        <c:axId val="16098796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Selling Price of Methanol ($/Unit)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1609876719"/>
        <c:crosses val="autoZero"/>
        <c:crossBetween val="midCat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Operators and Methanol Selling Price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1.6138564769825021E-2"/>
          <c:y val="9.9031581573983105E-2"/>
          <c:w val="0.91696390737642153"/>
          <c:h val="0.77810528379558153"/>
        </c:manualLayout>
      </c:layout>
      <c:scatterChart>
        <c:scatterStyle val="lineMarker"/>
        <c:varyColors val="0"/>
        <c:ser>
          <c:idx val="0"/>
          <c:order val="0"/>
          <c:tx>
            <c:v>Number of Operators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'S3'!$A$11:$A$17</c:f>
              <c:numCache>
                <c:formatCode>General</c:formatCode>
                <c:ptCount val="7"/>
                <c:pt idx="0">
                  <c:v>4.8000011444091797</c:v>
                </c:pt>
                <c:pt idx="1">
                  <c:v>20.160000801086426</c:v>
                </c:pt>
                <c:pt idx="2">
                  <c:v>35.520000457763672</c:v>
                </c:pt>
                <c:pt idx="3">
                  <c:v>50.880000114440918</c:v>
                </c:pt>
                <c:pt idx="4">
                  <c:v>66.239999771118164</c:v>
                </c:pt>
                <c:pt idx="5">
                  <c:v>81.59999942779541</c:v>
                </c:pt>
                <c:pt idx="6">
                  <c:v>96.959999084472656</c:v>
                </c:pt>
              </c:numCache>
            </c:numRef>
          </c:xVal>
          <c:yVal>
            <c:numRef>
              <c:f>'S3'!$B$11:$B$17</c:f>
              <c:numCache>
                <c:formatCode>"$"#,##0.00_);\("$"#,##0.00\)</c:formatCode>
                <c:ptCount val="7"/>
                <c:pt idx="0">
                  <c:v>2.15</c:v>
                </c:pt>
                <c:pt idx="1">
                  <c:v>2.27</c:v>
                </c:pt>
                <c:pt idx="2">
                  <c:v>2.39</c:v>
                </c:pt>
                <c:pt idx="3">
                  <c:v>2.5099999999999998</c:v>
                </c:pt>
                <c:pt idx="4">
                  <c:v>2.63</c:v>
                </c:pt>
                <c:pt idx="5">
                  <c:v>2.75</c:v>
                </c:pt>
                <c:pt idx="6">
                  <c:v>2.88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BA-4399-9FD0-8A4C8DC7B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491231"/>
        <c:axId val="1729503711"/>
      </c:scatterChart>
      <c:valAx>
        <c:axId val="1729491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Operators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503711"/>
        <c:crosses val="autoZero"/>
        <c:crossBetween val="midCat"/>
      </c:valAx>
      <c:valAx>
        <c:axId val="17295037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Selling Price of Methanol ($/Unit)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1729491231"/>
        <c:crosses val="autoZero"/>
        <c:crossBetween val="midCat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Methane Cost and Methanol Selling Price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1.6138564769825021E-2"/>
          <c:y val="9.9031581573983105E-2"/>
          <c:w val="0.91696390737642153"/>
          <c:h val="0.77810528379558153"/>
        </c:manualLayout>
      </c:layout>
      <c:scatterChart>
        <c:scatterStyle val="lineMarker"/>
        <c:varyColors val="0"/>
        <c:ser>
          <c:idx val="0"/>
          <c:order val="0"/>
          <c:tx>
            <c:v>Cost of Methane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'S2'!$A$11:$A$15</c:f>
              <c:numCache>
                <c:formatCode>General</c:formatCode>
                <c:ptCount val="5"/>
                <c:pt idx="0">
                  <c:v>1.666667064030966E-4</c:v>
                </c:pt>
                <c:pt idx="1">
                  <c:v>7.8333338101704917E-4</c:v>
                </c:pt>
                <c:pt idx="2">
                  <c:v>1.400000055631002E-3</c:v>
                </c:pt>
                <c:pt idx="3">
                  <c:v>2.0166667302449546E-3</c:v>
                </c:pt>
                <c:pt idx="4">
                  <c:v>2.6333334048589071E-3</c:v>
                </c:pt>
              </c:numCache>
            </c:numRef>
          </c:xVal>
          <c:yVal>
            <c:numRef>
              <c:f>'S2'!$B$11:$B$15</c:f>
              <c:numCache>
                <c:formatCode>"$"#,##0.00_);\("$"#,##0.00\)</c:formatCode>
                <c:ptCount val="5"/>
                <c:pt idx="0">
                  <c:v>2.16</c:v>
                </c:pt>
                <c:pt idx="1">
                  <c:v>2.2999999999999998</c:v>
                </c:pt>
                <c:pt idx="2">
                  <c:v>2.4300000000000002</c:v>
                </c:pt>
                <c:pt idx="3">
                  <c:v>2.57</c:v>
                </c:pt>
                <c:pt idx="4">
                  <c:v>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77-4864-B80D-9AFF83955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507039"/>
        <c:axId val="1729496223"/>
      </c:scatterChart>
      <c:valAx>
        <c:axId val="1729507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of Methane ($/Gal Product)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496223"/>
        <c:crosses val="autoZero"/>
        <c:crossBetween val="midCat"/>
      </c:valAx>
      <c:valAx>
        <c:axId val="172949622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Selling Price of Methanol ($/Unit)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1729507039"/>
        <c:crosses val="autoZero"/>
        <c:crossBetween val="midCat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/>
            </a:pPr>
            <a:r>
              <a:rPr lang="en-US"/>
              <a:t>Biomass Price and Methanol Selling Price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1.6138564769825021E-2"/>
          <c:y val="9.9031581573983105E-2"/>
          <c:w val="0.91696390737642153"/>
          <c:h val="0.77810528379558153"/>
        </c:manualLayout>
      </c:layout>
      <c:scatterChart>
        <c:scatterStyle val="lineMarker"/>
        <c:varyColors val="0"/>
        <c:ser>
          <c:idx val="0"/>
          <c:order val="0"/>
          <c:tx>
            <c:v>Cost of Biomass</c:v>
          </c:tx>
          <c:spPr>
            <a:ln w="3175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'S1'!$A$11:$A$15</c:f>
              <c:numCache>
                <c:formatCode>General</c:formatCode>
                <c:ptCount val="5"/>
                <c:pt idx="0">
                  <c:v>8.81853866636019E-3</c:v>
                </c:pt>
                <c:pt idx="1">
                  <c:v>5.1147513226748549E-2</c:v>
                </c:pt>
                <c:pt idx="2">
                  <c:v>9.3476487787136908E-2</c:v>
                </c:pt>
                <c:pt idx="3">
                  <c:v>0.13580545971939659</c:v>
                </c:pt>
                <c:pt idx="4">
                  <c:v>0.17813443690791364</c:v>
                </c:pt>
              </c:numCache>
            </c:numRef>
          </c:xVal>
          <c:yVal>
            <c:numRef>
              <c:f>'S1'!$B$11:$B$15</c:f>
              <c:numCache>
                <c:formatCode>"$"#,##0.00_);\("$"#,##0.00\)</c:formatCode>
                <c:ptCount val="5"/>
                <c:pt idx="0">
                  <c:v>2.4700000000000002</c:v>
                </c:pt>
                <c:pt idx="1">
                  <c:v>2.48</c:v>
                </c:pt>
                <c:pt idx="2">
                  <c:v>2.4900000000000002</c:v>
                </c:pt>
                <c:pt idx="3">
                  <c:v>2.5</c:v>
                </c:pt>
                <c:pt idx="4">
                  <c:v>2.5099999999999998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A2-4C06-A652-7BA2161A8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511199"/>
        <c:axId val="1729510367"/>
      </c:scatterChart>
      <c:valAx>
        <c:axId val="172951119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of Biomass ($/Gal Product)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29510367"/>
        <c:crosses val="autoZero"/>
        <c:crossBetween val="midCat"/>
      </c:valAx>
      <c:valAx>
        <c:axId val="17295103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Selling Price of Methanol ($/per Unit)</a:t>
                </a:r>
              </a:p>
            </c:rich>
          </c:tx>
          <c:overlay val="0"/>
        </c:title>
        <c:numFmt formatCode="&quot;$&quot;#,##0.00_);\(&quot;$&quot;#,##0.00\)" sourceLinked="1"/>
        <c:majorTickMark val="out"/>
        <c:minorTickMark val="none"/>
        <c:tickLblPos val="nextTo"/>
        <c:crossAx val="1729511199"/>
        <c:crosses val="autoZero"/>
        <c:crossBetween val="midCat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Cash Flow</a:t>
            </a:r>
          </a:p>
        </c:rich>
      </c:tx>
      <c:layout>
        <c:manualLayout>
          <c:xMode val="edge"/>
          <c:yMode val="edge"/>
          <c:x val="0.42602893221235044"/>
          <c:y val="1.9640030213043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864293659621803E-2"/>
          <c:y val="0.10965630114566285"/>
          <c:w val="0.91101223581757507"/>
          <c:h val="0.76104746317512273"/>
        </c:manualLayout>
      </c:layout>
      <c:barChart>
        <c:barDir val="col"/>
        <c:grouping val="clustered"/>
        <c:varyColors val="0"/>
        <c:ser>
          <c:idx val="0"/>
          <c:order val="0"/>
          <c:tx>
            <c:v>Cash Flow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'CASH FLOW'!$B$24:$S$24</c:f>
              <c:numCache>
                <c:formatCode>General</c:formatCode>
                <c:ptCount val="18"/>
                <c:pt idx="0">
                  <c:v>2021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'CASH FLOW'!$B$44:$S$44</c:f>
              <c:numCache>
                <c:formatCode>0_)</c:formatCode>
                <c:ptCount val="18"/>
                <c:pt idx="0">
                  <c:v>-2319.8058999999998</c:v>
                </c:pt>
                <c:pt idx="1">
                  <c:v>-6534</c:v>
                </c:pt>
                <c:pt idx="2">
                  <c:v>-12232.44</c:v>
                </c:pt>
                <c:pt idx="3">
                  <c:v>-12613.707274981829</c:v>
                </c:pt>
                <c:pt idx="4">
                  <c:v>-1548.3738715549689</c:v>
                </c:pt>
                <c:pt idx="5">
                  <c:v>3583.1421835293381</c:v>
                </c:pt>
                <c:pt idx="6">
                  <c:v>6754.1899677774527</c:v>
                </c:pt>
                <c:pt idx="7">
                  <c:v>7001.771310488567</c:v>
                </c:pt>
                <c:pt idx="8">
                  <c:v>6932.8362749081025</c:v>
                </c:pt>
                <c:pt idx="9">
                  <c:v>6959.5102379044247</c:v>
                </c:pt>
                <c:pt idx="10">
                  <c:v>7233.4475274205952</c:v>
                </c:pt>
                <c:pt idx="11">
                  <c:v>7522.7854285174317</c:v>
                </c:pt>
                <c:pt idx="12">
                  <c:v>7823.6968456581435</c:v>
                </c:pt>
                <c:pt idx="13">
                  <c:v>8136.6447194844532</c:v>
                </c:pt>
                <c:pt idx="14">
                  <c:v>8462.1105082638205</c:v>
                </c:pt>
                <c:pt idx="15">
                  <c:v>8800.5949285943789</c:v>
                </c:pt>
                <c:pt idx="16">
                  <c:v>9152.6187257381825</c:v>
                </c:pt>
                <c:pt idx="17">
                  <c:v>12177.805782221378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5-49BC-AB44-0AC346AC7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377792"/>
        <c:axId val="64769984"/>
      </c:barChart>
      <c:catAx>
        <c:axId val="1053777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Years</a:t>
                </a:r>
              </a:p>
            </c:rich>
          </c:tx>
          <c:layout>
            <c:manualLayout>
              <c:xMode val="edge"/>
              <c:yMode val="edge"/>
              <c:x val="0.50945490102507229"/>
              <c:y val="0.93453357752094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6476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769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Cash Flow ($k)</a:t>
                </a:r>
              </a:p>
            </c:rich>
          </c:tx>
          <c:layout>
            <c:manualLayout>
              <c:xMode val="edge"/>
              <c:yMode val="edge"/>
              <c:x val="1.2235836830556606E-2"/>
              <c:y val="0.40425534850193656"/>
            </c:manualLayout>
          </c:layout>
          <c:overlay val="0"/>
          <c:spPr>
            <a:noFill/>
            <a:ln w="25400">
              <a:noFill/>
            </a:ln>
          </c:spPr>
        </c:title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1053777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Cumulative</a:t>
            </a:r>
            <a:r>
              <a:rPr lang="en-US" sz="2000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'CASH FLOW'!$B$24:$S$24</c:f>
              <c:numCache>
                <c:formatCode>General</c:formatCode>
                <c:ptCount val="18"/>
                <c:pt idx="0">
                  <c:v>2021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  <c:pt idx="5">
                  <c:v>2027</c:v>
                </c:pt>
                <c:pt idx="6">
                  <c:v>2028</c:v>
                </c:pt>
                <c:pt idx="7">
                  <c:v>2029</c:v>
                </c:pt>
                <c:pt idx="8">
                  <c:v>2030</c:v>
                </c:pt>
                <c:pt idx="9">
                  <c:v>2031</c:v>
                </c:pt>
                <c:pt idx="10">
                  <c:v>2032</c:v>
                </c:pt>
                <c:pt idx="11">
                  <c:v>2033</c:v>
                </c:pt>
                <c:pt idx="12">
                  <c:v>2034</c:v>
                </c:pt>
                <c:pt idx="13">
                  <c:v>2035</c:v>
                </c:pt>
                <c:pt idx="14">
                  <c:v>2036</c:v>
                </c:pt>
                <c:pt idx="15">
                  <c:v>2037</c:v>
                </c:pt>
                <c:pt idx="16">
                  <c:v>2038</c:v>
                </c:pt>
                <c:pt idx="17">
                  <c:v>2039</c:v>
                </c:pt>
              </c:numCache>
            </c:numRef>
          </c:cat>
          <c:val>
            <c:numRef>
              <c:f>'CASH FLOW'!$B$45:$S$45</c:f>
              <c:numCache>
                <c:formatCode>0_)</c:formatCode>
                <c:ptCount val="18"/>
                <c:pt idx="0">
                  <c:v>-2319.8058999999998</c:v>
                </c:pt>
                <c:pt idx="1">
                  <c:v>-8853.8058999999994</c:v>
                </c:pt>
                <c:pt idx="2">
                  <c:v>-21086.245900000002</c:v>
                </c:pt>
                <c:pt idx="3">
                  <c:v>-33699.953174981827</c:v>
                </c:pt>
                <c:pt idx="4">
                  <c:v>-35248.327046536797</c:v>
                </c:pt>
                <c:pt idx="5">
                  <c:v>-31665.18486300746</c:v>
                </c:pt>
                <c:pt idx="6">
                  <c:v>-24910.994895230007</c:v>
                </c:pt>
                <c:pt idx="7">
                  <c:v>-17909.223584741441</c:v>
                </c:pt>
                <c:pt idx="8">
                  <c:v>-10976.387309833339</c:v>
                </c:pt>
                <c:pt idx="9">
                  <c:v>-4016.8770719289141</c:v>
                </c:pt>
                <c:pt idx="10">
                  <c:v>3216.5704554916811</c:v>
                </c:pt>
                <c:pt idx="11">
                  <c:v>10739.355884009114</c:v>
                </c:pt>
                <c:pt idx="12">
                  <c:v>18563.052729667259</c:v>
                </c:pt>
                <c:pt idx="13">
                  <c:v>26699.69744915171</c:v>
                </c:pt>
                <c:pt idx="14">
                  <c:v>35161.807957415527</c:v>
                </c:pt>
                <c:pt idx="15">
                  <c:v>43962.402886009906</c:v>
                </c:pt>
                <c:pt idx="16">
                  <c:v>53115.021611748089</c:v>
                </c:pt>
                <c:pt idx="17">
                  <c:v>65292.827393969463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B-4FA0-856C-06876A18C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379328"/>
        <c:axId val="64773440"/>
      </c:barChart>
      <c:catAx>
        <c:axId val="10537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773440"/>
        <c:crosses val="autoZero"/>
        <c:auto val="1"/>
        <c:lblAlgn val="ctr"/>
        <c:lblOffset val="100"/>
        <c:noMultiLvlLbl val="0"/>
      </c:catAx>
      <c:valAx>
        <c:axId val="64773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Cumulative Cash Flow -- $k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_)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7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3FE6D8E-098E-43D7-970B-F036C0EBABDD}">
  <sheetPr/>
  <sheetViews>
    <sheetView zoomScale="139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817BB26-3A7B-48C7-8F19-71F9EBE0743E}">
  <sheetPr/>
  <sheetViews>
    <sheetView zoomScale="139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75731F2-4AA4-495B-8E21-9043363C6A25}">
  <sheetPr/>
  <sheetViews>
    <sheetView zoomScale="139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A227B6A-FD85-4481-A281-8701F4668A60}">
  <sheetPr/>
  <sheetViews>
    <sheetView zoomScale="108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90" workbookViewId="0"/>
  </sheetViews>
  <pageMargins left="0.75" right="0.75" top="1" bottom="1" header="0.5" footer="0.5"/>
  <pageSetup orientation="landscape" horizontalDpi="200" verticalDpi="200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zoomScale="108" workbookViewId="0" zoomToFit="1"/>
  </sheetViews>
  <pageMargins left="0.7" right="0.7" top="0.75" bottom="0.75" header="0.3" footer="0.3"/>
  <pageSetup orientation="landscape" horizontalDpi="0" verticalDpi="0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44</xdr:row>
      <xdr:rowOff>47625</xdr:rowOff>
    </xdr:from>
    <xdr:to>
      <xdr:col>9</xdr:col>
      <xdr:colOff>9525</xdr:colOff>
      <xdr:row>44</xdr:row>
      <xdr:rowOff>47625</xdr:rowOff>
    </xdr:to>
    <xdr:sp macro="" textlink="">
      <xdr:nvSpPr>
        <xdr:cNvPr id="1039" name="Line 1">
          <a:extLst>
            <a:ext uri="{FF2B5EF4-FFF2-40B4-BE49-F238E27FC236}">
              <a16:creationId xmlns:a16="http://schemas.microsoft.com/office/drawing/2014/main" id="{00000000-0008-0000-0100-00000F040000}"/>
            </a:ext>
          </a:extLst>
        </xdr:cNvPr>
        <xdr:cNvSpPr>
          <a:spLocks noChangeShapeType="1"/>
        </xdr:cNvSpPr>
      </xdr:nvSpPr>
      <xdr:spPr bwMode="auto">
        <a:xfrm>
          <a:off x="5181600" y="7458075"/>
          <a:ext cx="800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37</xdr:row>
      <xdr:rowOff>38100</xdr:rowOff>
    </xdr:from>
    <xdr:to>
      <xdr:col>9</xdr:col>
      <xdr:colOff>9525</xdr:colOff>
      <xdr:row>37</xdr:row>
      <xdr:rowOff>38100</xdr:rowOff>
    </xdr:to>
    <xdr:sp macro="" textlink="">
      <xdr:nvSpPr>
        <xdr:cNvPr id="2063" name="Line 1">
          <a:extLst>
            <a:ext uri="{FF2B5EF4-FFF2-40B4-BE49-F238E27FC236}">
              <a16:creationId xmlns:a16="http://schemas.microsoft.com/office/drawing/2014/main" id="{00000000-0008-0000-0200-00000F080000}"/>
            </a:ext>
          </a:extLst>
        </xdr:cNvPr>
        <xdr:cNvSpPr>
          <a:spLocks noChangeShapeType="1"/>
        </xdr:cNvSpPr>
      </xdr:nvSpPr>
      <xdr:spPr bwMode="auto">
        <a:xfrm>
          <a:off x="4991100" y="6219825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291465</xdr:colOff>
      <xdr:row>3</xdr:row>
      <xdr:rowOff>47625</xdr:rowOff>
    </xdr:from>
    <xdr:to>
      <xdr:col>9</xdr:col>
      <xdr:colOff>813422</xdr:colOff>
      <xdr:row>9</xdr:row>
      <xdr:rowOff>0</xdr:rowOff>
    </xdr:to>
    <xdr:sp macro="" textlink="">
      <xdr:nvSpPr>
        <xdr:cNvPr id="4102" name="Text Box 6">
          <a:extLst>
            <a:ext uri="{FF2B5EF4-FFF2-40B4-BE49-F238E27FC236}">
              <a16:creationId xmlns:a16="http://schemas.microsoft.com/office/drawing/2014/main" id="{00000000-0008-0000-0300-000006100000}"/>
            </a:ext>
          </a:extLst>
        </xdr:cNvPr>
        <xdr:cNvSpPr txBox="1">
          <a:spLocks noChangeArrowheads="1"/>
        </xdr:cNvSpPr>
      </xdr:nvSpPr>
      <xdr:spPr bwMode="auto">
        <a:xfrm>
          <a:off x="2076450" y="666750"/>
          <a:ext cx="6705600" cy="942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prstDash val="sysDot"/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Sensitivity Analysis can be performed by pressing the Sensitivity Analysis button. A dialog box allows the user to select various options.  For the Sensitivity Analysis Macro, X variables should be cells set by the user (yellow or blue). Y variables should be chosen to be calculated values or values solved by the worksheet (aqua or blue). Selling Price can be an X variable or a Y variable.</a:t>
          </a:r>
        </a:p>
        <a:p>
          <a:pPr algn="l" rtl="0">
            <a:lnSpc>
              <a:spcPts val="1000"/>
            </a:lnSpc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Set Selling Price macro will break down if an unfeasible target value is entered.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5</xdr:row>
          <xdr:rowOff>63500</xdr:rowOff>
        </xdr:from>
        <xdr:to>
          <xdr:col>12</xdr:col>
          <xdr:colOff>292100</xdr:colOff>
          <xdr:row>7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Sensitivity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254000</xdr:colOff>
          <xdr:row>7</xdr:row>
          <xdr:rowOff>139700</xdr:rowOff>
        </xdr:from>
        <xdr:to>
          <xdr:col>12</xdr:col>
          <xdr:colOff>304800</xdr:colOff>
          <xdr:row>9</xdr:row>
          <xdr:rowOff>139700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Set Selling 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5609928" cy="40658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5609928" cy="40658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5609928" cy="406582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7220185" cy="523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565444" cy="581377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7220185" cy="523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171"/>
  <sheetViews>
    <sheetView showZeros="0" workbookViewId="0">
      <selection activeCell="D64" sqref="D64"/>
    </sheetView>
  </sheetViews>
  <sheetFormatPr baseColWidth="10" defaultColWidth="9.6640625" defaultRowHeight="13"/>
  <cols>
    <col min="1" max="1" width="10.1640625" customWidth="1"/>
    <col min="2" max="2" width="22.6640625" customWidth="1"/>
    <col min="3" max="3" width="12.6640625" customWidth="1"/>
    <col min="4" max="4" width="15.33203125" customWidth="1"/>
    <col min="5" max="5" width="14" customWidth="1"/>
    <col min="6" max="7" width="5.6640625" customWidth="1"/>
    <col min="8" max="8" width="10.33203125" style="36" customWidth="1"/>
    <col min="9" max="9" width="3.83203125" style="36" customWidth="1"/>
    <col min="10" max="10" width="11.33203125" style="36" customWidth="1"/>
    <col min="11" max="11" width="2.6640625" customWidth="1"/>
    <col min="13" max="13" width="20.1640625" customWidth="1"/>
    <col min="14" max="14" width="14" customWidth="1"/>
  </cols>
  <sheetData>
    <row r="1" spans="1:14" ht="20">
      <c r="A1" s="189" t="s">
        <v>249</v>
      </c>
      <c r="B1" s="189"/>
      <c r="C1" s="189"/>
      <c r="D1" s="189"/>
      <c r="E1" s="189"/>
      <c r="F1" s="189"/>
      <c r="G1" s="189"/>
      <c r="H1" s="189"/>
      <c r="I1" s="189"/>
      <c r="J1" s="189"/>
    </row>
    <row r="2" spans="1:14" ht="18">
      <c r="A2" s="26"/>
      <c r="B2" s="27"/>
      <c r="C2" s="28"/>
      <c r="D2" s="26"/>
      <c r="E2" s="26"/>
      <c r="F2" s="26"/>
      <c r="G2" s="26"/>
      <c r="H2" s="46"/>
      <c r="I2" s="46"/>
      <c r="J2" s="46"/>
    </row>
    <row r="3" spans="1:14" ht="12.75" customHeight="1">
      <c r="B3" s="29"/>
      <c r="C3" t="s">
        <v>0</v>
      </c>
      <c r="E3" s="30"/>
      <c r="F3" t="s">
        <v>1</v>
      </c>
    </row>
    <row r="4" spans="1:14" ht="12.75" customHeight="1"/>
    <row r="5" spans="1:14" ht="12.75" customHeight="1">
      <c r="A5" s="26" t="s">
        <v>2</v>
      </c>
      <c r="B5" s="186" t="s">
        <v>251</v>
      </c>
      <c r="C5" s="187"/>
      <c r="D5" s="187"/>
      <c r="E5" s="188"/>
      <c r="F5" s="26"/>
      <c r="G5" s="26" t="s">
        <v>3</v>
      </c>
      <c r="H5" s="123">
        <f ca="1">TODAY()</f>
        <v>44903</v>
      </c>
      <c r="I5" s="46"/>
      <c r="J5" s="46"/>
    </row>
    <row r="6" spans="1:14" ht="12.75" customHeight="1">
      <c r="A6" s="26" t="s">
        <v>138</v>
      </c>
      <c r="B6" s="186" t="s">
        <v>252</v>
      </c>
      <c r="C6" s="187"/>
      <c r="D6" s="187"/>
      <c r="E6" s="188"/>
      <c r="F6" s="26"/>
      <c r="G6" s="26"/>
      <c r="H6" s="26"/>
      <c r="I6" s="46"/>
      <c r="J6" s="46"/>
    </row>
    <row r="7" spans="1:14" ht="12.75" customHeight="1">
      <c r="A7" s="26" t="s">
        <v>134</v>
      </c>
      <c r="B7" s="26"/>
      <c r="C7" s="122" t="s">
        <v>253</v>
      </c>
      <c r="D7" s="26"/>
      <c r="E7" s="26"/>
      <c r="F7" s="26"/>
      <c r="G7" s="26"/>
      <c r="I7" s="46"/>
      <c r="J7" s="46"/>
    </row>
    <row r="8" spans="1:14" ht="12.75" customHeight="1">
      <c r="A8" s="26" t="s">
        <v>135</v>
      </c>
      <c r="B8" s="26"/>
      <c r="C8" s="122">
        <v>2920</v>
      </c>
      <c r="D8" s="26"/>
      <c r="E8" s="26"/>
      <c r="F8" s="26"/>
      <c r="G8" s="26"/>
      <c r="I8" s="46"/>
      <c r="J8" s="46"/>
    </row>
    <row r="9" spans="1:14" ht="12.75" customHeight="1">
      <c r="A9" s="26" t="s">
        <v>4</v>
      </c>
      <c r="B9" s="122">
        <v>56000000</v>
      </c>
      <c r="C9" s="26" t="str">
        <f>C7&amp;" per Year"</f>
        <v>Gal per Year</v>
      </c>
      <c r="D9" s="26"/>
      <c r="E9" s="100"/>
      <c r="F9" s="26"/>
      <c r="G9" s="26" t="s">
        <v>5</v>
      </c>
      <c r="H9" s="184" t="s">
        <v>145</v>
      </c>
      <c r="I9" s="185"/>
      <c r="J9" s="46"/>
    </row>
    <row r="10" spans="1:14" ht="12.75" customHeight="1">
      <c r="A10" s="26" t="s">
        <v>4</v>
      </c>
      <c r="B10" s="122">
        <f>IF(ISNUMBER(OpHours),AnnCap/OpHours,"")</f>
        <v>19178.082191780821</v>
      </c>
      <c r="C10" s="26" t="str">
        <f>C7&amp;" per Hour"</f>
        <v>Gal per Hour</v>
      </c>
      <c r="D10" s="26"/>
      <c r="E10" s="26"/>
      <c r="F10" s="26"/>
      <c r="J10" s="46"/>
    </row>
    <row r="11" spans="1:14" ht="12.75" customHeight="1">
      <c r="A11" s="26"/>
      <c r="B11" s="26"/>
      <c r="C11" s="26"/>
      <c r="D11" s="26"/>
      <c r="E11" s="26"/>
      <c r="F11" s="26"/>
      <c r="G11" s="26"/>
      <c r="H11" s="46"/>
      <c r="I11" s="46"/>
      <c r="J11" s="46"/>
    </row>
    <row r="12" spans="1:14" ht="12.75" customHeight="1">
      <c r="A12" s="26"/>
      <c r="B12" s="91"/>
      <c r="D12" s="26" t="s">
        <v>250</v>
      </c>
      <c r="E12" s="26"/>
      <c r="F12" s="26"/>
      <c r="G12" s="26"/>
      <c r="H12" s="47" t="s">
        <v>6</v>
      </c>
      <c r="I12" s="46"/>
      <c r="J12" s="48" t="s">
        <v>7</v>
      </c>
      <c r="N12" s="26"/>
    </row>
    <row r="13" spans="1:14" ht="12.75" customHeight="1">
      <c r="A13" s="26" t="s">
        <v>8</v>
      </c>
      <c r="B13" s="26"/>
      <c r="C13" s="26"/>
      <c r="D13" s="26"/>
      <c r="E13" s="26"/>
      <c r="F13" s="26"/>
      <c r="G13" s="26"/>
      <c r="H13" s="47" t="s">
        <v>9</v>
      </c>
      <c r="I13" s="46"/>
      <c r="J13" s="46"/>
    </row>
    <row r="14" spans="1:14" ht="12.75" customHeight="1">
      <c r="A14" s="26"/>
      <c r="B14" s="26"/>
      <c r="C14" s="26"/>
      <c r="D14" s="26"/>
      <c r="E14" s="26"/>
      <c r="F14" s="26"/>
      <c r="G14" s="26"/>
      <c r="H14" s="49" t="s">
        <v>171</v>
      </c>
      <c r="I14" s="46"/>
      <c r="J14" s="49" t="s">
        <v>171</v>
      </c>
    </row>
    <row r="15" spans="1:14" ht="12.75" customHeight="1">
      <c r="A15" s="26"/>
      <c r="B15" s="26"/>
      <c r="C15" s="26"/>
      <c r="D15" s="26"/>
      <c r="E15" s="26"/>
      <c r="F15" s="26"/>
      <c r="G15" s="26"/>
      <c r="H15" s="49"/>
      <c r="I15" s="46"/>
      <c r="J15" s="49"/>
    </row>
    <row r="16" spans="1:14" ht="12.75" customHeight="1">
      <c r="A16" s="73" t="s">
        <v>202</v>
      </c>
      <c r="B16" s="26"/>
      <c r="C16" s="26"/>
      <c r="D16" s="26"/>
      <c r="E16" s="26"/>
      <c r="F16" s="26"/>
      <c r="G16" s="26"/>
      <c r="H16" s="49"/>
      <c r="I16" s="46"/>
      <c r="J16" s="49"/>
    </row>
    <row r="17" spans="1:12" ht="12.75" customHeight="1">
      <c r="A17" s="26" t="s">
        <v>200</v>
      </c>
      <c r="B17" s="26"/>
      <c r="C17" s="26"/>
      <c r="D17" s="31"/>
      <c r="E17" s="31"/>
      <c r="F17" s="31"/>
      <c r="G17" s="26"/>
      <c r="H17" s="46"/>
      <c r="I17" s="46"/>
      <c r="J17" s="46"/>
    </row>
    <row r="18" spans="1:12" ht="12.75" customHeight="1">
      <c r="A18" s="26"/>
      <c r="B18" s="124"/>
      <c r="C18" s="26"/>
      <c r="D18" s="26"/>
      <c r="E18" s="26"/>
      <c r="F18" s="26"/>
      <c r="G18" s="26"/>
      <c r="H18" s="126"/>
      <c r="I18" s="46"/>
      <c r="J18" s="46"/>
    </row>
    <row r="19" spans="1:12" ht="12.75" customHeight="1">
      <c r="A19" s="26"/>
      <c r="B19" s="124"/>
      <c r="C19" s="26"/>
      <c r="D19" s="26"/>
      <c r="E19" s="26"/>
      <c r="F19" s="26"/>
      <c r="G19" s="26"/>
      <c r="H19" s="126"/>
      <c r="I19" s="46"/>
      <c r="J19" s="46"/>
    </row>
    <row r="20" spans="1:12" ht="12.75" customHeight="1">
      <c r="A20" s="26"/>
      <c r="B20" s="124"/>
      <c r="C20" s="26"/>
      <c r="D20" s="26"/>
      <c r="E20" s="26"/>
      <c r="F20" s="26"/>
      <c r="G20" s="26"/>
      <c r="H20" s="126"/>
      <c r="I20" s="46"/>
      <c r="J20" s="46"/>
    </row>
    <row r="21" spans="1:12" ht="12.75" customHeight="1">
      <c r="A21" s="26"/>
      <c r="B21" s="124"/>
      <c r="C21" s="26"/>
      <c r="D21" s="26"/>
      <c r="E21" s="26"/>
      <c r="F21" s="26"/>
      <c r="G21" s="26"/>
      <c r="H21" s="126"/>
      <c r="I21" s="46"/>
      <c r="J21" s="46"/>
    </row>
    <row r="22" spans="1:12" ht="12.75" customHeight="1">
      <c r="A22" s="26"/>
      <c r="B22" s="125"/>
      <c r="C22" s="26"/>
      <c r="D22" s="26"/>
      <c r="E22" s="26"/>
      <c r="F22" s="26"/>
      <c r="G22" s="26"/>
      <c r="H22" s="126"/>
      <c r="I22" s="46"/>
      <c r="J22" s="46"/>
    </row>
    <row r="23" spans="1:12" ht="12.75" customHeight="1">
      <c r="A23" s="26" t="s">
        <v>194</v>
      </c>
      <c r="B23" s="26"/>
      <c r="C23" s="26"/>
      <c r="D23" s="26"/>
      <c r="E23" s="26"/>
      <c r="F23" s="26"/>
      <c r="G23" s="26"/>
      <c r="H23" s="45">
        <f>SUM(H18:H22)</f>
        <v>0</v>
      </c>
      <c r="I23" s="46"/>
      <c r="J23" s="46"/>
    </row>
    <row r="24" spans="1:12" ht="12.75" customHeight="1">
      <c r="A24" s="26" t="s">
        <v>10</v>
      </c>
      <c r="B24" s="26"/>
      <c r="C24" s="26"/>
      <c r="D24" s="127">
        <v>0.1</v>
      </c>
      <c r="E24" s="31"/>
      <c r="F24" s="31"/>
      <c r="G24" s="26"/>
      <c r="H24" s="45">
        <f>D24*H23</f>
        <v>0</v>
      </c>
      <c r="I24" s="46"/>
      <c r="J24" s="46"/>
    </row>
    <row r="25" spans="1:12" ht="12.75" customHeight="1">
      <c r="A25" s="26"/>
      <c r="B25" s="26" t="s">
        <v>195</v>
      </c>
      <c r="C25" s="26"/>
      <c r="D25" s="31"/>
      <c r="E25" s="31"/>
      <c r="F25" s="31"/>
      <c r="G25" s="26"/>
      <c r="H25" s="46"/>
      <c r="I25" s="46"/>
      <c r="J25" s="45">
        <f>H23+H24</f>
        <v>0</v>
      </c>
    </row>
    <row r="26" spans="1:12" ht="12.75" customHeight="1">
      <c r="A26" s="26"/>
      <c r="B26" s="26"/>
      <c r="C26" s="26"/>
      <c r="D26" s="31"/>
      <c r="E26" s="31"/>
      <c r="F26" s="31"/>
      <c r="G26" s="26"/>
      <c r="H26" s="46"/>
      <c r="I26" s="46"/>
      <c r="J26" s="46"/>
    </row>
    <row r="27" spans="1:12" ht="12.75" customHeight="1">
      <c r="A27" s="155" t="s">
        <v>245</v>
      </c>
      <c r="I27" s="46"/>
      <c r="L27" s="32"/>
    </row>
    <row r="28" spans="1:12" ht="12.75" customHeight="1">
      <c r="B28" s="26" t="s">
        <v>222</v>
      </c>
      <c r="C28" s="163" t="s">
        <v>226</v>
      </c>
      <c r="I28" s="46"/>
      <c r="L28" s="32"/>
    </row>
    <row r="29" spans="1:12" ht="12.75" customHeight="1">
      <c r="C29" s="165" t="s">
        <v>243</v>
      </c>
      <c r="I29" s="46"/>
      <c r="L29" s="32"/>
    </row>
    <row r="30" spans="1:12" ht="12.75" customHeight="1">
      <c r="B30" s="161" t="s">
        <v>227</v>
      </c>
      <c r="C30" s="166"/>
      <c r="D30" s="45">
        <f>J25</f>
        <v>0</v>
      </c>
      <c r="I30" s="46"/>
      <c r="L30" s="32"/>
    </row>
    <row r="31" spans="1:12" ht="12.75" customHeight="1">
      <c r="B31" s="161" t="s">
        <v>228</v>
      </c>
      <c r="C31" s="167">
        <f t="shared" ref="C31:C37" si="0">VLOOKUP(B31,LangFactorTable,VLOOKUP($C$28,ProcessingType,2,FALSE),FALSE)</f>
        <v>47</v>
      </c>
      <c r="D31" s="45">
        <f>$D$30*C31/100</f>
        <v>0</v>
      </c>
      <c r="I31" s="46"/>
      <c r="L31" s="32"/>
    </row>
    <row r="32" spans="1:12" ht="12.75" customHeight="1">
      <c r="B32" s="161" t="s">
        <v>229</v>
      </c>
      <c r="C32" s="167">
        <f t="shared" si="0"/>
        <v>36</v>
      </c>
      <c r="D32" s="45">
        <f t="shared" ref="D32:D43" si="1">$D$30*C32/100</f>
        <v>0</v>
      </c>
      <c r="I32" s="46"/>
      <c r="L32" s="32"/>
    </row>
    <row r="33" spans="1:12" ht="12.75" customHeight="1">
      <c r="B33" s="161" t="s">
        <v>230</v>
      </c>
      <c r="C33" s="167">
        <f t="shared" si="0"/>
        <v>68</v>
      </c>
      <c r="D33" s="45">
        <f t="shared" si="1"/>
        <v>0</v>
      </c>
      <c r="I33" s="46"/>
      <c r="L33" s="32"/>
    </row>
    <row r="34" spans="1:12" ht="12.75" customHeight="1">
      <c r="B34" s="161" t="s">
        <v>231</v>
      </c>
      <c r="C34" s="167">
        <f t="shared" si="0"/>
        <v>11</v>
      </c>
      <c r="D34" s="45">
        <f t="shared" si="1"/>
        <v>0</v>
      </c>
      <c r="I34" s="46"/>
      <c r="L34" s="32"/>
    </row>
    <row r="35" spans="1:12" ht="12.75" customHeight="1">
      <c r="B35" s="161" t="s">
        <v>232</v>
      </c>
      <c r="C35" s="167">
        <f t="shared" si="0"/>
        <v>18</v>
      </c>
      <c r="D35" s="45">
        <f t="shared" si="1"/>
        <v>0</v>
      </c>
      <c r="I35" s="46"/>
      <c r="L35" s="32"/>
    </row>
    <row r="36" spans="1:12" ht="12.75" customHeight="1">
      <c r="B36" s="161" t="s">
        <v>233</v>
      </c>
      <c r="C36" s="167">
        <f t="shared" si="0"/>
        <v>10</v>
      </c>
      <c r="D36" s="45">
        <f t="shared" si="1"/>
        <v>0</v>
      </c>
      <c r="I36" s="46"/>
      <c r="L36" s="32"/>
    </row>
    <row r="37" spans="1:12" ht="12.75" customHeight="1">
      <c r="B37" s="161" t="s">
        <v>234</v>
      </c>
      <c r="C37" s="167">
        <f t="shared" si="0"/>
        <v>70</v>
      </c>
      <c r="D37" s="45">
        <f t="shared" si="1"/>
        <v>0</v>
      </c>
      <c r="I37" s="46"/>
      <c r="L37" s="32"/>
    </row>
    <row r="38" spans="1:12" ht="12.75" customHeight="1">
      <c r="B38" s="161" t="s">
        <v>235</v>
      </c>
      <c r="C38" s="167"/>
      <c r="D38" s="45">
        <f>SUM(D30:D37)</f>
        <v>0</v>
      </c>
      <c r="I38" s="46"/>
      <c r="L38" s="32"/>
    </row>
    <row r="39" spans="1:12" ht="12.75" customHeight="1">
      <c r="B39" s="161" t="s">
        <v>236</v>
      </c>
      <c r="C39" s="167">
        <f>VLOOKUP(B39,LangFactorTable,VLOOKUP($C$28,ProcessingType,2,FALSE),FALSE)</f>
        <v>33</v>
      </c>
      <c r="D39" s="45">
        <f t="shared" si="1"/>
        <v>0</v>
      </c>
      <c r="I39" s="46"/>
      <c r="L39" s="32"/>
    </row>
    <row r="40" spans="1:12" ht="12.75" customHeight="1">
      <c r="B40" s="161" t="s">
        <v>237</v>
      </c>
      <c r="C40" s="167">
        <f>VLOOKUP(B40,LangFactorTable,VLOOKUP($C$28,ProcessingType,2,FALSE),FALSE)</f>
        <v>41</v>
      </c>
      <c r="D40" s="45">
        <f t="shared" si="1"/>
        <v>0</v>
      </c>
      <c r="I40" s="46"/>
      <c r="L40" s="32"/>
    </row>
    <row r="41" spans="1:12" ht="12.75" customHeight="1">
      <c r="B41" s="161" t="s">
        <v>238</v>
      </c>
      <c r="C41" s="167"/>
      <c r="D41" s="45">
        <f>SUM(D38:D40)</f>
        <v>0</v>
      </c>
      <c r="I41" s="46"/>
      <c r="L41" s="32"/>
    </row>
    <row r="42" spans="1:12" ht="12.75" customHeight="1">
      <c r="B42" s="161" t="s">
        <v>239</v>
      </c>
      <c r="C42" s="167">
        <f>VLOOKUP(B42,LangFactorTable,VLOOKUP($C$28,ProcessingType,2,FALSE),FALSE)</f>
        <v>26</v>
      </c>
      <c r="D42" s="45">
        <f t="shared" si="1"/>
        <v>0</v>
      </c>
      <c r="I42" s="46"/>
      <c r="L42" s="32"/>
    </row>
    <row r="43" spans="1:12" ht="12.75" customHeight="1">
      <c r="B43" s="161" t="s">
        <v>13</v>
      </c>
      <c r="C43" s="167">
        <f>VLOOKUP(B43,LangFactorTable,VLOOKUP($C$28,ProcessingType,2,FALSE),FALSE)</f>
        <v>44</v>
      </c>
      <c r="D43" s="45">
        <f t="shared" si="1"/>
        <v>0</v>
      </c>
      <c r="I43" s="46"/>
      <c r="L43" s="32"/>
    </row>
    <row r="44" spans="1:12" ht="12.75" customHeight="1">
      <c r="B44" s="4"/>
      <c r="I44" s="46"/>
      <c r="L44" s="32"/>
    </row>
    <row r="45" spans="1:12" ht="12.75" customHeight="1">
      <c r="B45" s="161" t="s">
        <v>240</v>
      </c>
      <c r="C45" s="164"/>
      <c r="D45" s="45">
        <f>SUM(D41:D43)</f>
        <v>0</v>
      </c>
      <c r="I45" s="46"/>
      <c r="L45" s="32"/>
    </row>
    <row r="46" spans="1:12" ht="12.75" customHeight="1">
      <c r="I46" s="46"/>
      <c r="L46" s="32"/>
    </row>
    <row r="47" spans="1:12" ht="12.75" customHeight="1">
      <c r="A47" s="168" t="s">
        <v>246</v>
      </c>
      <c r="I47" s="46"/>
      <c r="L47" s="32"/>
    </row>
    <row r="48" spans="1:12" ht="12.75" customHeight="1">
      <c r="I48" s="46"/>
      <c r="L48" s="32"/>
    </row>
    <row r="49" spans="1:12" ht="12.75" customHeight="1">
      <c r="A49" s="73"/>
      <c r="B49" s="26"/>
      <c r="C49" s="26"/>
      <c r="D49" s="31"/>
      <c r="E49" s="31"/>
      <c r="F49" s="31"/>
      <c r="G49" s="26"/>
      <c r="H49" s="46"/>
      <c r="I49" s="46"/>
      <c r="L49" s="32"/>
    </row>
    <row r="50" spans="1:12" ht="12.75" customHeight="1">
      <c r="A50" s="73" t="s">
        <v>203</v>
      </c>
      <c r="B50" s="26"/>
      <c r="C50" s="26"/>
      <c r="D50" t="s">
        <v>196</v>
      </c>
      <c r="E50" s="62" t="s">
        <v>197</v>
      </c>
      <c r="F50" s="31"/>
      <c r="G50" s="26"/>
      <c r="H50" s="46"/>
      <c r="I50" s="46"/>
      <c r="J50" s="109"/>
      <c r="L50" s="32"/>
    </row>
    <row r="51" spans="1:12" ht="12.75" customHeight="1">
      <c r="A51" s="26" t="s">
        <v>11</v>
      </c>
      <c r="B51" s="26"/>
      <c r="C51" s="26"/>
      <c r="D51" t="s">
        <v>9</v>
      </c>
      <c r="E51" s="62" t="s">
        <v>12</v>
      </c>
      <c r="F51" s="31"/>
      <c r="G51" s="26"/>
      <c r="H51" s="46"/>
      <c r="I51" s="46"/>
      <c r="L51" s="32"/>
    </row>
    <row r="52" spans="1:12" ht="12.75" customHeight="1">
      <c r="A52" s="26"/>
      <c r="B52" s="124" t="s">
        <v>254</v>
      </c>
      <c r="C52" s="26"/>
      <c r="D52" s="128">
        <f>(4*56900/1000)*(831/576.1)</f>
        <v>328.30341954521782</v>
      </c>
      <c r="E52" s="124">
        <v>4.3</v>
      </c>
      <c r="F52" s="26" t="s">
        <v>257</v>
      </c>
      <c r="G52" s="26"/>
      <c r="H52" s="45">
        <f>E52*D52</f>
        <v>1411.7047040444365</v>
      </c>
      <c r="I52" s="46"/>
      <c r="J52" s="110"/>
      <c r="L52" s="32"/>
    </row>
    <row r="53" spans="1:12" ht="12.75" customHeight="1">
      <c r="A53" s="26"/>
      <c r="B53" s="124" t="s">
        <v>255</v>
      </c>
      <c r="C53" s="26"/>
      <c r="D53" s="128">
        <f>97700/1000*(831/576.1)</f>
        <v>140.9281374761326</v>
      </c>
      <c r="E53" s="124">
        <v>4.3</v>
      </c>
      <c r="F53" s="26"/>
      <c r="G53" s="26"/>
      <c r="H53" s="45">
        <f>E53*D53</f>
        <v>605.99099114737021</v>
      </c>
      <c r="I53" s="46"/>
      <c r="J53" s="110"/>
      <c r="L53" s="32"/>
    </row>
    <row r="54" spans="1:12" ht="12.75" customHeight="1">
      <c r="A54" s="26"/>
      <c r="B54" s="124" t="s">
        <v>256</v>
      </c>
      <c r="C54" s="26"/>
      <c r="D54" s="128">
        <f>(1407*20*7+96900)/1000*(831/576.1)</f>
        <v>423.90952959555631</v>
      </c>
      <c r="E54" s="124">
        <v>4.3</v>
      </c>
      <c r="F54" s="26"/>
      <c r="G54" s="26"/>
      <c r="H54" s="45">
        <f>E54*D54</f>
        <v>1822.8109772608921</v>
      </c>
      <c r="I54" s="46"/>
      <c r="J54" s="110"/>
      <c r="L54" s="32"/>
    </row>
    <row r="55" spans="1:12" ht="12.75" customHeight="1">
      <c r="A55" s="26"/>
      <c r="B55" s="174" t="s">
        <v>261</v>
      </c>
      <c r="C55" s="173"/>
      <c r="D55" s="175">
        <f>112600/1000*(831/576.1)</f>
        <v>162.42076028467278</v>
      </c>
      <c r="E55" s="174">
        <v>3.17</v>
      </c>
      <c r="H55" s="176">
        <f>D55*E55</f>
        <v>514.87381010241268</v>
      </c>
      <c r="I55"/>
      <c r="J55"/>
    </row>
    <row r="56" spans="1:12" ht="12.75" customHeight="1">
      <c r="A56" s="26"/>
      <c r="B56" s="174" t="s">
        <v>262</v>
      </c>
      <c r="C56" s="173"/>
      <c r="D56" s="175">
        <f>98200/1000*(831/576.1)</f>
        <v>141.64936642943934</v>
      </c>
      <c r="E56" s="174">
        <v>3.17</v>
      </c>
      <c r="H56" s="176">
        <f t="shared" ref="H56:H66" si="2">D56*E56</f>
        <v>449.02849158132267</v>
      </c>
      <c r="I56"/>
      <c r="J56"/>
    </row>
    <row r="57" spans="1:12" ht="12.75" customHeight="1">
      <c r="B57" s="174" t="s">
        <v>263</v>
      </c>
      <c r="C57" s="173"/>
      <c r="D57" s="175">
        <f>105900/1000*(831/576.1)</f>
        <v>152.7562923103628</v>
      </c>
      <c r="E57" s="174">
        <v>3.17</v>
      </c>
      <c r="H57" s="176">
        <f t="shared" si="2"/>
        <v>484.23744662385008</v>
      </c>
    </row>
    <row r="58" spans="1:12" ht="12.75" customHeight="1">
      <c r="B58" s="174" t="s">
        <v>264</v>
      </c>
      <c r="C58" s="173"/>
      <c r="D58" s="175">
        <f>358739.281374761/1000*(831/576.1)</f>
        <v>517.46631283184581</v>
      </c>
      <c r="E58" s="174">
        <v>3.3</v>
      </c>
      <c r="H58" s="176">
        <f t="shared" si="2"/>
        <v>1707.638832345091</v>
      </c>
    </row>
    <row r="59" spans="1:12" ht="12.75" customHeight="1">
      <c r="B59" s="174" t="s">
        <v>265</v>
      </c>
      <c r="C59" s="173"/>
      <c r="D59" s="175">
        <f>358739.281374761/1000*(831/576.1)</f>
        <v>517.46631283184581</v>
      </c>
      <c r="E59" s="174">
        <v>3.3</v>
      </c>
      <c r="H59" s="176">
        <f t="shared" si="2"/>
        <v>1707.638832345091</v>
      </c>
    </row>
    <row r="60" spans="1:12" ht="12.75" customHeight="1">
      <c r="B60" s="174" t="s">
        <v>266</v>
      </c>
      <c r="C60" s="173"/>
      <c r="D60" s="175">
        <f>107751.605624024/1000*(831/576.1)</f>
        <v>155.42715548266608</v>
      </c>
      <c r="E60" s="174">
        <v>2.3199999999999998</v>
      </c>
      <c r="F60" s="155" t="s">
        <v>273</v>
      </c>
      <c r="H60" s="176">
        <f t="shared" si="2"/>
        <v>360.59100071978526</v>
      </c>
    </row>
    <row r="61" spans="1:12" ht="12.75" customHeight="1">
      <c r="B61" s="174" t="s">
        <v>267</v>
      </c>
      <c r="C61" s="173"/>
      <c r="D61" s="175">
        <f>3889.59/1000*5*(831/576.1)</f>
        <v>28.052849244922754</v>
      </c>
      <c r="E61" s="174">
        <v>2.15</v>
      </c>
      <c r="H61" s="176">
        <f t="shared" si="2"/>
        <v>60.31362587658392</v>
      </c>
    </row>
    <row r="62" spans="1:12" ht="12.75" customHeight="1">
      <c r="B62" s="174" t="s">
        <v>268</v>
      </c>
      <c r="C62" s="173"/>
      <c r="D62" s="175">
        <f>139774.171150842/1000*(831/576.1)</f>
        <v>201.61835831687156</v>
      </c>
      <c r="E62" s="174">
        <v>4.16</v>
      </c>
      <c r="H62" s="176">
        <f t="shared" si="2"/>
        <v>838.73237059818575</v>
      </c>
    </row>
    <row r="63" spans="1:12" ht="12.75" customHeight="1">
      <c r="B63" s="174" t="s">
        <v>269</v>
      </c>
      <c r="C63" s="173"/>
      <c r="D63" s="175">
        <f>19475127.84/1000</f>
        <v>19475.127840000001</v>
      </c>
      <c r="E63" s="174">
        <v>4.16</v>
      </c>
      <c r="H63" s="176">
        <f t="shared" si="2"/>
        <v>81016.531814400005</v>
      </c>
    </row>
    <row r="64" spans="1:12">
      <c r="B64" s="174" t="s">
        <v>270</v>
      </c>
      <c r="C64" s="173"/>
      <c r="D64" s="175">
        <f>57300000/1000*(831/576.1)</f>
        <v>82652.838048949838</v>
      </c>
      <c r="E64" s="174">
        <v>1.73</v>
      </c>
      <c r="F64" s="155" t="s">
        <v>274</v>
      </c>
      <c r="H64" s="176">
        <f t="shared" si="2"/>
        <v>142989.40982468321</v>
      </c>
    </row>
    <row r="65" spans="2:10">
      <c r="B65" s="174" t="s">
        <v>271</v>
      </c>
      <c r="C65" s="173"/>
      <c r="D65" s="175">
        <f>57300000/1000*(831/576.1)</f>
        <v>82652.838048949838</v>
      </c>
      <c r="E65" s="174">
        <v>1.73</v>
      </c>
      <c r="F65" s="155" t="s">
        <v>274</v>
      </c>
      <c r="H65" s="176">
        <f t="shared" si="2"/>
        <v>142989.40982468321</v>
      </c>
    </row>
    <row r="66" spans="2:10">
      <c r="B66" s="174" t="s">
        <v>272</v>
      </c>
      <c r="C66" s="173"/>
      <c r="D66" s="175">
        <f>4720000/1000*(831/576.1)</f>
        <v>6808.4013192154134</v>
      </c>
      <c r="E66" s="174">
        <v>4.16</v>
      </c>
      <c r="H66" s="176">
        <f t="shared" si="2"/>
        <v>28322.949487936119</v>
      </c>
    </row>
    <row r="67" spans="2:10">
      <c r="B67" s="36"/>
      <c r="C67" s="36"/>
      <c r="H67"/>
      <c r="I67"/>
      <c r="J67"/>
    </row>
    <row r="68" spans="2:10">
      <c r="B68" s="36"/>
      <c r="C68" s="36"/>
      <c r="H68"/>
      <c r="I68"/>
      <c r="J68"/>
    </row>
    <row r="69" spans="2:10">
      <c r="B69" s="36"/>
      <c r="C69" s="36"/>
      <c r="H69"/>
      <c r="I69"/>
      <c r="J69"/>
    </row>
    <row r="82" spans="1:12" ht="12.75" customHeight="1"/>
    <row r="83" spans="1:12" ht="12.75" customHeight="1"/>
    <row r="84" spans="1:12" ht="12.75" customHeight="1">
      <c r="A84" s="26" t="s">
        <v>198</v>
      </c>
      <c r="B84" s="26"/>
      <c r="C84" s="26"/>
      <c r="D84" s="26"/>
      <c r="E84" s="26"/>
      <c r="F84" s="26"/>
      <c r="G84" s="26"/>
      <c r="H84" s="45">
        <f>SUM(H52:H54)</f>
        <v>3840.5066724526987</v>
      </c>
      <c r="I84" s="46"/>
      <c r="J84" s="46"/>
      <c r="L84" s="32"/>
    </row>
    <row r="85" spans="1:12" ht="12.75" customHeight="1">
      <c r="A85" s="26"/>
      <c r="B85" s="26"/>
      <c r="C85" s="26"/>
      <c r="D85" s="26"/>
      <c r="E85" s="26"/>
      <c r="F85" s="26"/>
      <c r="G85" s="26"/>
      <c r="H85" s="32"/>
      <c r="I85" s="46"/>
      <c r="J85" s="46"/>
      <c r="L85" s="32"/>
    </row>
    <row r="86" spans="1:12" ht="12.75" customHeight="1">
      <c r="A86" s="26" t="s">
        <v>153</v>
      </c>
      <c r="B86" s="26"/>
      <c r="C86" s="26"/>
      <c r="D86" s="127">
        <v>0.1</v>
      </c>
      <c r="E86" s="26"/>
      <c r="F86" s="26"/>
      <c r="G86" s="26"/>
      <c r="H86" s="45">
        <f>D86*H84</f>
        <v>384.05066724526989</v>
      </c>
      <c r="I86" s="46"/>
      <c r="J86" s="46"/>
      <c r="L86" s="32"/>
    </row>
    <row r="87" spans="1:12" ht="12.75" customHeight="1">
      <c r="A87" s="26"/>
      <c r="B87" s="26" t="s">
        <v>154</v>
      </c>
      <c r="C87" s="26"/>
      <c r="D87" s="26"/>
      <c r="E87" s="26"/>
      <c r="F87" s="26"/>
      <c r="G87" s="26"/>
      <c r="H87" s="32"/>
      <c r="I87" s="46"/>
      <c r="J87" s="45">
        <f>H84+H86</f>
        <v>4224.5573396979689</v>
      </c>
      <c r="L87" s="32"/>
    </row>
    <row r="88" spans="1:12" ht="12.75" customHeight="1">
      <c r="A88" s="26"/>
      <c r="B88" s="26"/>
      <c r="C88" s="26"/>
      <c r="D88" s="26"/>
      <c r="E88" s="26"/>
      <c r="F88" s="26"/>
      <c r="G88" s="26"/>
      <c r="H88" s="46"/>
      <c r="I88" s="46"/>
      <c r="J88" s="46"/>
      <c r="L88" s="32"/>
    </row>
    <row r="89" spans="1:12" ht="12.75" customHeight="1">
      <c r="A89" s="26"/>
      <c r="B89" s="74" t="s">
        <v>155</v>
      </c>
      <c r="C89" s="26"/>
      <c r="D89" s="31"/>
      <c r="E89" s="31"/>
      <c r="F89" s="31"/>
      <c r="G89" s="26"/>
      <c r="H89" s="46"/>
      <c r="I89" s="46"/>
      <c r="J89" s="45">
        <f>J87</f>
        <v>4224.5573396979689</v>
      </c>
      <c r="L89" s="32"/>
    </row>
    <row r="90" spans="1:12" ht="12.75" customHeight="1">
      <c r="L90" s="32"/>
    </row>
    <row r="91" spans="1:12" ht="12.75" customHeight="1">
      <c r="A91" s="73"/>
      <c r="B91" s="26"/>
      <c r="C91" s="26"/>
      <c r="D91" s="31"/>
      <c r="E91" s="31"/>
      <c r="F91" s="31"/>
      <c r="G91" s="26"/>
      <c r="H91" s="46"/>
    </row>
    <row r="92" spans="1:12" ht="12.75" customHeight="1">
      <c r="B92" s="26"/>
      <c r="C92" s="26"/>
      <c r="D92" s="150" t="s">
        <v>204</v>
      </c>
      <c r="E92" s="124"/>
      <c r="F92" s="31"/>
      <c r="G92" s="26"/>
      <c r="H92" s="46"/>
    </row>
    <row r="93" spans="1:12">
      <c r="B93" s="26"/>
      <c r="C93" s="26"/>
      <c r="D93" s="150" t="s">
        <v>205</v>
      </c>
      <c r="E93" s="124"/>
      <c r="F93" s="31"/>
      <c r="G93" s="26"/>
      <c r="H93" s="46"/>
    </row>
    <row r="94" spans="1:12" ht="12.75" customHeight="1">
      <c r="B94" s="26"/>
      <c r="C94" s="26"/>
      <c r="D94" s="150" t="s">
        <v>206</v>
      </c>
      <c r="E94" s="124"/>
      <c r="F94" s="31"/>
      <c r="G94" s="26"/>
      <c r="H94" s="46"/>
    </row>
    <row r="95" spans="1:12" ht="12.75" customHeight="1">
      <c r="B95" s="26"/>
      <c r="C95" s="26"/>
      <c r="D95" s="150" t="s">
        <v>207</v>
      </c>
      <c r="E95" s="124"/>
      <c r="F95" s="31"/>
      <c r="G95" s="26"/>
      <c r="H95" s="46"/>
    </row>
    <row r="96" spans="1:12" ht="12.75" customHeight="1">
      <c r="B96" s="26"/>
      <c r="C96" s="26"/>
      <c r="D96" s="150" t="s">
        <v>208</v>
      </c>
      <c r="E96" s="124"/>
      <c r="F96" s="31"/>
      <c r="G96" s="26"/>
      <c r="H96" s="46"/>
    </row>
    <row r="97" spans="1:10" ht="12.75" customHeight="1">
      <c r="B97" s="26"/>
      <c r="C97" s="26"/>
      <c r="D97" s="150" t="s">
        <v>209</v>
      </c>
      <c r="E97" s="124"/>
      <c r="F97" s="31"/>
      <c r="G97" s="26"/>
      <c r="H97" s="46"/>
    </row>
    <row r="98" spans="1:10" ht="12.75" customHeight="1">
      <c r="A98" s="26" t="s">
        <v>213</v>
      </c>
      <c r="C98" s="26"/>
      <c r="D98" s="31"/>
      <c r="E98" s="31"/>
      <c r="F98" s="31"/>
      <c r="G98" s="26"/>
      <c r="H98" s="45">
        <f>J89+SUM(E92:E97)</f>
        <v>4224.5573396979689</v>
      </c>
    </row>
    <row r="99" spans="1:10" ht="12.75" customHeight="1">
      <c r="A99" s="73"/>
      <c r="B99" s="26"/>
      <c r="C99" s="26"/>
      <c r="D99" s="31"/>
      <c r="E99" s="31"/>
      <c r="F99" s="31"/>
      <c r="G99" s="26"/>
      <c r="H99" s="46"/>
    </row>
    <row r="100" spans="1:10" ht="12.75" customHeight="1">
      <c r="A100" s="26" t="s">
        <v>219</v>
      </c>
      <c r="B100" s="127" t="s">
        <v>214</v>
      </c>
      <c r="D100" s="149" t="s">
        <v>210</v>
      </c>
      <c r="E100" s="156">
        <f>VLOOKUP(B100,$B$148:$D$149,2)</f>
        <v>0.15</v>
      </c>
      <c r="F100" s="31"/>
      <c r="G100" s="26"/>
      <c r="H100" s="45">
        <f>E100*H98</f>
        <v>633.68360095469529</v>
      </c>
    </row>
    <row r="101" spans="1:10" ht="12.75" customHeight="1">
      <c r="A101" s="73"/>
      <c r="B101" s="26"/>
      <c r="D101" s="149" t="s">
        <v>247</v>
      </c>
      <c r="E101" s="156">
        <f>VLOOKUP(B100,$B$148:$D$149,3)</f>
        <v>0.2</v>
      </c>
      <c r="F101" s="31"/>
      <c r="G101" s="26"/>
      <c r="H101" s="45">
        <f>E101*H98</f>
        <v>844.91146793959388</v>
      </c>
    </row>
    <row r="102" spans="1:10" ht="12.75" customHeight="1">
      <c r="A102" s="73"/>
      <c r="B102" s="26"/>
      <c r="D102" s="149" t="s">
        <v>212</v>
      </c>
      <c r="E102" s="124"/>
      <c r="F102" s="31"/>
      <c r="G102" s="26"/>
      <c r="H102" s="45">
        <f>E102</f>
        <v>0</v>
      </c>
    </row>
    <row r="103" spans="1:10" ht="12.75" customHeight="1">
      <c r="A103" s="26" t="s">
        <v>241</v>
      </c>
      <c r="C103" s="26"/>
      <c r="D103" s="31"/>
      <c r="E103" s="31"/>
      <c r="F103" s="31"/>
      <c r="G103" s="26"/>
      <c r="H103" s="45">
        <f>H98+SUM(H100:H102)</f>
        <v>5703.1524085922583</v>
      </c>
    </row>
    <row r="104" spans="1:10" ht="12.75" customHeight="1">
      <c r="A104" s="73"/>
      <c r="B104" s="26"/>
      <c r="C104" s="26"/>
      <c r="D104" s="31"/>
      <c r="E104" s="31"/>
      <c r="F104" s="31"/>
      <c r="G104" s="26"/>
      <c r="H104" s="46"/>
    </row>
    <row r="105" spans="1:10" ht="12.75" customHeight="1">
      <c r="A105" s="73"/>
      <c r="B105" s="26"/>
      <c r="C105" s="150" t="s">
        <v>211</v>
      </c>
      <c r="D105" s="31"/>
      <c r="E105" s="169">
        <v>0.2</v>
      </c>
      <c r="F105" s="31"/>
      <c r="G105" s="26"/>
      <c r="H105" s="45">
        <f>E105*H103</f>
        <v>1140.6304817184516</v>
      </c>
    </row>
    <row r="106" spans="1:10" ht="12.75" customHeight="1">
      <c r="A106" s="26" t="s">
        <v>248</v>
      </c>
      <c r="C106" s="26"/>
      <c r="D106" s="31"/>
      <c r="E106" s="31"/>
      <c r="F106" s="31"/>
      <c r="G106" s="26"/>
      <c r="H106" s="45">
        <f>H105+H103</f>
        <v>6843.7828903107102</v>
      </c>
    </row>
    <row r="107" spans="1:10" ht="12.75" customHeight="1">
      <c r="A107" s="73"/>
      <c r="B107" s="26"/>
      <c r="C107" s="26"/>
      <c r="D107" s="31"/>
      <c r="E107" s="31"/>
      <c r="F107" s="31"/>
      <c r="G107" s="26"/>
      <c r="H107" s="46"/>
    </row>
    <row r="108" spans="1:10" ht="12.75" customHeight="1">
      <c r="A108" s="26" t="s">
        <v>221</v>
      </c>
      <c r="C108" s="26"/>
      <c r="D108" s="31"/>
      <c r="E108" s="31"/>
      <c r="F108" s="31"/>
      <c r="G108" s="26"/>
      <c r="H108" s="45">
        <f>H106+D45</f>
        <v>6843.7828903107102</v>
      </c>
    </row>
    <row r="109" spans="1:10" ht="12.75" customHeight="1"/>
    <row r="110" spans="1:10" ht="12.75" customHeight="1">
      <c r="A110" s="26"/>
      <c r="B110" s="26"/>
      <c r="C110" s="26"/>
      <c r="D110" s="26"/>
      <c r="E110" s="26"/>
      <c r="F110" s="26"/>
      <c r="G110" s="26"/>
      <c r="H110" s="48"/>
      <c r="I110" s="46"/>
      <c r="J110" s="46" t="s">
        <v>14</v>
      </c>
    </row>
    <row r="111" spans="1:10" ht="12.75" customHeight="1">
      <c r="A111" s="26"/>
      <c r="B111" s="26" t="s">
        <v>15</v>
      </c>
      <c r="C111" s="26"/>
      <c r="D111" s="31"/>
      <c r="E111" s="31"/>
      <c r="F111" s="31"/>
      <c r="G111" s="26"/>
      <c r="H111"/>
      <c r="I111" s="46"/>
      <c r="J111" s="45">
        <f>H108</f>
        <v>6843.7828903107102</v>
      </c>
    </row>
    <row r="112" spans="1:10" ht="12.75" customHeight="1">
      <c r="A112" s="26" t="s">
        <v>16</v>
      </c>
      <c r="B112" s="26"/>
      <c r="C112" s="26"/>
      <c r="D112" s="127">
        <v>1</v>
      </c>
      <c r="E112" s="31" t="s">
        <v>17</v>
      </c>
      <c r="F112" s="31"/>
      <c r="G112" s="26"/>
      <c r="H112" s="46"/>
      <c r="I112" s="46"/>
      <c r="J112" s="45">
        <f>ROUND(D112*$J$111,0)</f>
        <v>6844</v>
      </c>
    </row>
    <row r="113" spans="1:11" ht="12.75" customHeight="1">
      <c r="A113" s="26" t="s">
        <v>18</v>
      </c>
      <c r="B113" s="26"/>
      <c r="C113" s="26"/>
      <c r="D113" s="129">
        <v>0.04</v>
      </c>
      <c r="E113" s="31" t="s">
        <v>19</v>
      </c>
      <c r="F113" s="130">
        <v>27</v>
      </c>
      <c r="G113" s="26" t="s">
        <v>20</v>
      </c>
      <c r="H113"/>
      <c r="I113" s="46"/>
      <c r="J113" s="45">
        <f>ROUND(J112*(1+D113)^F113,0)</f>
        <v>19734</v>
      </c>
    </row>
    <row r="114" spans="1:11" ht="12.75" customHeight="1">
      <c r="A114" s="26" t="s">
        <v>21</v>
      </c>
      <c r="B114" s="26"/>
      <c r="C114" s="26"/>
      <c r="D114" s="127"/>
      <c r="E114" s="31"/>
      <c r="F114" s="31"/>
      <c r="G114" s="26"/>
      <c r="H114" s="46"/>
      <c r="I114" s="46"/>
      <c r="J114" s="45">
        <f>ROUND(J113*D114,0)</f>
        <v>0</v>
      </c>
    </row>
    <row r="115" spans="1:11" ht="12.75" customHeight="1">
      <c r="A115" s="26"/>
      <c r="B115" s="26" t="s">
        <v>22</v>
      </c>
      <c r="C115" s="26"/>
      <c r="D115" s="31"/>
      <c r="E115" s="31"/>
      <c r="F115" s="31"/>
      <c r="G115" s="26"/>
      <c r="H115"/>
      <c r="I115" s="46"/>
      <c r="J115" s="45">
        <f>J113+J114</f>
        <v>19734</v>
      </c>
    </row>
    <row r="116" spans="1:11" ht="12.75" customHeight="1">
      <c r="A116" s="26"/>
      <c r="B116" s="26"/>
      <c r="C116" s="26"/>
      <c r="D116" s="31"/>
      <c r="E116" s="31"/>
      <c r="F116" s="31"/>
      <c r="G116" s="26" t="s">
        <v>23</v>
      </c>
      <c r="H116"/>
      <c r="I116" s="46"/>
      <c r="J116" s="45">
        <f>IF(J115&lt;100,ROUND((J115+3),-1),ROUND((J115+30),-2))</f>
        <v>19800</v>
      </c>
    </row>
    <row r="117" spans="1:11" ht="12.75" customHeight="1">
      <c r="A117" s="26"/>
      <c r="B117" s="26" t="s">
        <v>201</v>
      </c>
      <c r="C117" s="26"/>
      <c r="D117" s="31"/>
      <c r="E117" s="31"/>
      <c r="F117" s="31"/>
      <c r="G117" s="26"/>
      <c r="H117" s="46"/>
      <c r="I117" s="48" t="s">
        <v>137</v>
      </c>
      <c r="J117" s="50">
        <f>H116+J116</f>
        <v>19800</v>
      </c>
      <c r="K117" t="s">
        <v>177</v>
      </c>
    </row>
    <row r="118" spans="1:11" ht="12.75" customHeight="1">
      <c r="A118" s="26"/>
      <c r="B118" s="26"/>
      <c r="C118" s="26"/>
      <c r="D118" s="31"/>
      <c r="E118" s="31"/>
      <c r="F118" s="31"/>
      <c r="G118" s="26"/>
      <c r="H118" s="46"/>
      <c r="I118" s="46"/>
      <c r="J118" s="46"/>
    </row>
    <row r="119" spans="1:11" ht="12.75" customHeight="1">
      <c r="A119" s="26"/>
      <c r="B119" s="26"/>
      <c r="C119" s="26"/>
      <c r="D119" s="31"/>
      <c r="E119" s="31"/>
      <c r="F119" s="31"/>
      <c r="G119" s="26"/>
      <c r="H119" s="46"/>
      <c r="I119" s="46"/>
      <c r="J119" s="46"/>
    </row>
    <row r="120" spans="1:11" ht="20">
      <c r="A120" s="52" t="s">
        <v>24</v>
      </c>
    </row>
    <row r="122" spans="1:11">
      <c r="A122" s="13" t="s">
        <v>191</v>
      </c>
    </row>
    <row r="124" spans="1:11">
      <c r="B124" s="3" t="s">
        <v>25</v>
      </c>
      <c r="C124" s="3" t="s">
        <v>26</v>
      </c>
      <c r="D124" s="3" t="s">
        <v>27</v>
      </c>
    </row>
    <row r="125" spans="1:11">
      <c r="B125" s="131"/>
      <c r="C125" s="131"/>
      <c r="D125" s="132"/>
      <c r="E125" t="str">
        <f>"/"&amp;C125</f>
        <v>/</v>
      </c>
      <c r="H125" s="53">
        <f>D125*B125/1000</f>
        <v>0</v>
      </c>
      <c r="I125" s="36" t="s">
        <v>177</v>
      </c>
    </row>
    <row r="126" spans="1:11">
      <c r="B126" s="131"/>
      <c r="C126" s="131"/>
      <c r="D126" s="132"/>
      <c r="E126" t="str">
        <f>"/"&amp;C126</f>
        <v>/</v>
      </c>
      <c r="H126" s="53">
        <f>D126*B126/1000</f>
        <v>0</v>
      </c>
      <c r="I126" s="36" t="s">
        <v>177</v>
      </c>
    </row>
    <row r="127" spans="1:11">
      <c r="B127" s="131"/>
      <c r="C127" s="131"/>
      <c r="D127" s="132"/>
      <c r="E127" t="str">
        <f>"/"&amp;C127</f>
        <v>/</v>
      </c>
      <c r="H127" s="53">
        <f>B127*D127/1000</f>
        <v>0</v>
      </c>
      <c r="I127" s="36" t="s">
        <v>177</v>
      </c>
    </row>
    <row r="128" spans="1:11" ht="14.25" customHeight="1">
      <c r="B128" s="131"/>
      <c r="C128" s="131"/>
      <c r="D128" s="132"/>
      <c r="E128" t="str">
        <f>"/"&amp;C128</f>
        <v>/</v>
      </c>
      <c r="H128" s="53">
        <f>B128*D128/1000</f>
        <v>0</v>
      </c>
      <c r="I128" s="36" t="s">
        <v>177</v>
      </c>
    </row>
    <row r="129" spans="1:9">
      <c r="F129" t="s">
        <v>28</v>
      </c>
      <c r="H129" s="53">
        <f>SUM(H125:H128)</f>
        <v>0</v>
      </c>
      <c r="I129" s="36" t="s">
        <v>177</v>
      </c>
    </row>
    <row r="131" spans="1:9">
      <c r="A131" t="s">
        <v>192</v>
      </c>
      <c r="C131" s="133">
        <v>2.5000000000000001E-2</v>
      </c>
      <c r="D131" t="s">
        <v>29</v>
      </c>
      <c r="H131" s="53">
        <f>J117*C131</f>
        <v>495</v>
      </c>
      <c r="I131" s="36" t="s">
        <v>177</v>
      </c>
    </row>
    <row r="133" spans="1:9">
      <c r="B133" t="s">
        <v>193</v>
      </c>
      <c r="H133" s="53">
        <f>Spares+INVENTORY</f>
        <v>495</v>
      </c>
    </row>
    <row r="135" spans="1:9" ht="14" thickBot="1">
      <c r="B135" s="170" t="s">
        <v>189</v>
      </c>
      <c r="C135" s="171"/>
    </row>
    <row r="136" spans="1:9" ht="14" thickTop="1">
      <c r="B136" s="120" t="s">
        <v>139</v>
      </c>
      <c r="C136" s="151">
        <v>1</v>
      </c>
    </row>
    <row r="137" spans="1:9">
      <c r="B137" s="121" t="s">
        <v>142</v>
      </c>
      <c r="C137" s="152">
        <v>0.95</v>
      </c>
    </row>
    <row r="138" spans="1:9">
      <c r="B138" s="121" t="s">
        <v>143</v>
      </c>
      <c r="C138" s="152">
        <v>1.1000000000000001</v>
      </c>
    </row>
    <row r="139" spans="1:9">
      <c r="B139" s="121" t="s">
        <v>144</v>
      </c>
      <c r="C139" s="152">
        <v>1.1499999999999999</v>
      </c>
    </row>
    <row r="140" spans="1:9">
      <c r="B140" s="121" t="s">
        <v>145</v>
      </c>
      <c r="C140" s="152">
        <v>1.25</v>
      </c>
    </row>
    <row r="141" spans="1:9">
      <c r="B141" s="121" t="s">
        <v>146</v>
      </c>
      <c r="C141" s="152">
        <v>1.2</v>
      </c>
    </row>
    <row r="142" spans="1:9">
      <c r="B142" s="121" t="s">
        <v>147</v>
      </c>
      <c r="C142" s="152">
        <v>0.95</v>
      </c>
    </row>
    <row r="143" spans="1:9">
      <c r="B143" s="121" t="s">
        <v>148</v>
      </c>
      <c r="C143" s="152">
        <v>1.1499999999999999</v>
      </c>
    </row>
    <row r="144" spans="1:9">
      <c r="B144" s="121" t="s">
        <v>149</v>
      </c>
      <c r="C144" s="152">
        <v>1</v>
      </c>
    </row>
    <row r="145" spans="2:5">
      <c r="B145" s="121" t="s">
        <v>150</v>
      </c>
      <c r="C145" s="152">
        <v>0.85</v>
      </c>
    </row>
    <row r="147" spans="2:5" ht="14" thickBot="1">
      <c r="B147" s="154" t="s">
        <v>216</v>
      </c>
      <c r="C147" s="154" t="s">
        <v>217</v>
      </c>
      <c r="D147" s="154" t="s">
        <v>218</v>
      </c>
    </row>
    <row r="148" spans="2:5" ht="14" thickTop="1">
      <c r="B148" s="120" t="s">
        <v>214</v>
      </c>
      <c r="C148" s="153">
        <v>0.15</v>
      </c>
      <c r="D148" s="153">
        <v>0.2</v>
      </c>
    </row>
    <row r="149" spans="2:5">
      <c r="B149" s="121" t="s">
        <v>215</v>
      </c>
      <c r="C149" s="153">
        <v>0.05</v>
      </c>
      <c r="D149" s="153">
        <v>0.05</v>
      </c>
    </row>
    <row r="151" spans="2:5" ht="14" thickBot="1">
      <c r="B151" s="159" t="s">
        <v>223</v>
      </c>
      <c r="C151" s="155" t="s">
        <v>244</v>
      </c>
      <c r="E151" s="155"/>
    </row>
    <row r="152" spans="2:5" ht="14" thickTop="1">
      <c r="B152" s="157" t="s">
        <v>224</v>
      </c>
      <c r="C152">
        <v>2</v>
      </c>
    </row>
    <row r="153" spans="2:5">
      <c r="B153" s="158" t="s">
        <v>225</v>
      </c>
      <c r="C153">
        <v>3</v>
      </c>
    </row>
    <row r="154" spans="2:5">
      <c r="B154" s="158" t="s">
        <v>226</v>
      </c>
      <c r="C154">
        <v>4</v>
      </c>
    </row>
    <row r="156" spans="2:5">
      <c r="B156" s="160" t="s">
        <v>242</v>
      </c>
      <c r="C156" s="162" t="s">
        <v>224</v>
      </c>
      <c r="D156" s="162" t="s">
        <v>225</v>
      </c>
      <c r="E156" s="162" t="s">
        <v>226</v>
      </c>
    </row>
    <row r="157" spans="2:5">
      <c r="B157" s="161" t="s">
        <v>227</v>
      </c>
      <c r="C157">
        <v>100</v>
      </c>
      <c r="D157">
        <v>100</v>
      </c>
      <c r="E157">
        <v>100</v>
      </c>
    </row>
    <row r="158" spans="2:5">
      <c r="B158" s="161" t="s">
        <v>228</v>
      </c>
      <c r="C158">
        <v>45</v>
      </c>
      <c r="D158">
        <v>39</v>
      </c>
      <c r="E158">
        <v>47</v>
      </c>
    </row>
    <row r="159" spans="2:5">
      <c r="B159" s="161" t="s">
        <v>229</v>
      </c>
      <c r="C159">
        <v>18</v>
      </c>
      <c r="D159">
        <v>26</v>
      </c>
      <c r="E159">
        <v>36</v>
      </c>
    </row>
    <row r="160" spans="2:5">
      <c r="B160" s="161" t="s">
        <v>230</v>
      </c>
      <c r="C160">
        <v>16</v>
      </c>
      <c r="D160">
        <v>31</v>
      </c>
      <c r="E160">
        <v>68</v>
      </c>
    </row>
    <row r="161" spans="2:5">
      <c r="B161" s="161" t="s">
        <v>231</v>
      </c>
      <c r="C161">
        <v>10</v>
      </c>
      <c r="D161">
        <v>10</v>
      </c>
      <c r="E161">
        <v>11</v>
      </c>
    </row>
    <row r="162" spans="2:5">
      <c r="B162" s="161" t="s">
        <v>232</v>
      </c>
      <c r="C162">
        <v>25</v>
      </c>
      <c r="D162">
        <v>29</v>
      </c>
      <c r="E162">
        <v>18</v>
      </c>
    </row>
    <row r="163" spans="2:5">
      <c r="B163" s="161" t="s">
        <v>233</v>
      </c>
      <c r="C163">
        <v>15</v>
      </c>
      <c r="D163">
        <v>12</v>
      </c>
      <c r="E163">
        <v>10</v>
      </c>
    </row>
    <row r="164" spans="2:5">
      <c r="B164" s="161" t="s">
        <v>234</v>
      </c>
      <c r="C164">
        <v>40</v>
      </c>
      <c r="D164">
        <v>55</v>
      </c>
      <c r="E164">
        <v>70</v>
      </c>
    </row>
    <row r="165" spans="2:5">
      <c r="B165" s="161" t="s">
        <v>235</v>
      </c>
      <c r="C165">
        <v>269</v>
      </c>
      <c r="D165">
        <v>302</v>
      </c>
      <c r="E165">
        <v>360</v>
      </c>
    </row>
    <row r="166" spans="2:5">
      <c r="B166" s="161" t="s">
        <v>236</v>
      </c>
      <c r="C166">
        <v>33</v>
      </c>
      <c r="D166">
        <v>32</v>
      </c>
      <c r="E166">
        <v>33</v>
      </c>
    </row>
    <row r="167" spans="2:5">
      <c r="B167" s="161" t="s">
        <v>237</v>
      </c>
      <c r="C167">
        <v>39</v>
      </c>
      <c r="D167">
        <v>34</v>
      </c>
      <c r="E167">
        <v>41</v>
      </c>
    </row>
    <row r="168" spans="2:5">
      <c r="B168" s="161" t="s">
        <v>238</v>
      </c>
      <c r="C168">
        <v>341</v>
      </c>
      <c r="D168">
        <v>368</v>
      </c>
      <c r="E168">
        <v>434</v>
      </c>
    </row>
    <row r="169" spans="2:5">
      <c r="B169" s="161" t="s">
        <v>239</v>
      </c>
      <c r="C169">
        <v>21</v>
      </c>
      <c r="D169">
        <v>23</v>
      </c>
      <c r="E169">
        <v>26</v>
      </c>
    </row>
    <row r="170" spans="2:5">
      <c r="B170" s="161" t="s">
        <v>13</v>
      </c>
      <c r="C170">
        <v>35</v>
      </c>
      <c r="D170">
        <v>37</v>
      </c>
      <c r="E170">
        <v>44</v>
      </c>
    </row>
    <row r="171" spans="2:5">
      <c r="B171" s="161" t="s">
        <v>240</v>
      </c>
      <c r="C171">
        <v>397</v>
      </c>
      <c r="D171">
        <v>428</v>
      </c>
      <c r="E171">
        <v>504</v>
      </c>
    </row>
  </sheetData>
  <mergeCells count="4">
    <mergeCell ref="H9:I9"/>
    <mergeCell ref="B5:E5"/>
    <mergeCell ref="B6:E6"/>
    <mergeCell ref="A1:J1"/>
  </mergeCells>
  <phoneticPr fontId="16" type="noConversion"/>
  <dataValidations count="4">
    <dataValidation type="list" allowBlank="1" showInputMessage="1" showErrorMessage="1" sqref="C7" xr:uid="{00000000-0002-0000-0000-000000000000}">
      <formula1>"Lb, Ton, kg, Tonne, Gal, MCF,Component"</formula1>
    </dataValidation>
    <dataValidation type="list" allowBlank="1" showInputMessage="1" showErrorMessage="1" sqref="H9" xr:uid="{00000000-0002-0000-0000-000001000000}">
      <formula1>Sites</formula1>
    </dataValidation>
    <dataValidation type="list" allowBlank="1" showInputMessage="1" showErrorMessage="1" sqref="B100" xr:uid="{00000000-0002-0000-0000-000002000000}">
      <formula1>$B$148:$B$149</formula1>
    </dataValidation>
    <dataValidation type="list" allowBlank="1" showInputMessage="1" showErrorMessage="1" sqref="C28" xr:uid="{00000000-0002-0000-0000-000003000000}">
      <formula1>$B$152:$B$154</formula1>
    </dataValidation>
  </dataValidations>
  <printOptions horizontalCentered="1" verticalCentered="1" gridLines="1"/>
  <pageMargins left="0.75" right="0.75" top="0.5" bottom="0.5" header="0" footer="0"/>
  <pageSetup scale="33" orientation="portrait" horizont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valuation="1" codeName="Sheet2">
    <pageSetUpPr fitToPage="1"/>
  </sheetPr>
  <dimension ref="A1:P78"/>
  <sheetViews>
    <sheetView showZeros="0" workbookViewId="0">
      <selection activeCell="L27" sqref="L27"/>
    </sheetView>
  </sheetViews>
  <sheetFormatPr baseColWidth="10" defaultColWidth="8.83203125" defaultRowHeight="13"/>
  <cols>
    <col min="1" max="1" width="5.83203125" customWidth="1"/>
    <col min="3" max="3" width="10.33203125" customWidth="1"/>
    <col min="4" max="4" width="11.1640625" customWidth="1"/>
    <col min="5" max="5" width="10.33203125" style="3" customWidth="1"/>
    <col min="6" max="6" width="13.33203125" style="3" bestFit="1" customWidth="1"/>
    <col min="7" max="7" width="11.33203125" customWidth="1"/>
    <col min="8" max="8" width="9.1640625" style="3" customWidth="1"/>
    <col min="9" max="9" width="11.83203125" customWidth="1"/>
    <col min="10" max="10" width="10.33203125" customWidth="1"/>
    <col min="11" max="11" width="14.1640625" customWidth="1"/>
    <col min="12" max="12" width="25" customWidth="1"/>
    <col min="13" max="13" width="18.1640625" bestFit="1" customWidth="1"/>
    <col min="15" max="15" width="12.1640625" customWidth="1"/>
    <col min="16" max="16" width="13.6640625" customWidth="1"/>
  </cols>
  <sheetData>
    <row r="1" spans="1:15" ht="20">
      <c r="A1" s="2" t="s">
        <v>30</v>
      </c>
      <c r="B1" s="2"/>
      <c r="C1" s="2"/>
      <c r="D1" s="2"/>
      <c r="E1" s="2"/>
      <c r="F1" s="2"/>
      <c r="G1" s="2"/>
      <c r="H1" s="2"/>
      <c r="I1" s="2"/>
    </row>
    <row r="2" spans="1:15" ht="20">
      <c r="A2" s="2" t="s">
        <v>31</v>
      </c>
      <c r="B2" s="2"/>
      <c r="C2" s="2"/>
      <c r="D2" s="2"/>
      <c r="E2" s="2"/>
      <c r="F2" s="2"/>
      <c r="G2" s="2"/>
      <c r="H2" s="2"/>
      <c r="I2" s="2"/>
    </row>
    <row r="3" spans="1:15" ht="20">
      <c r="A3" s="2"/>
      <c r="B3" s="2"/>
      <c r="C3" s="2"/>
      <c r="D3" s="2"/>
      <c r="E3" s="2"/>
      <c r="F3" s="2"/>
      <c r="G3" s="2"/>
      <c r="H3" s="2"/>
      <c r="I3" s="2"/>
    </row>
    <row r="4" spans="1:15" s="13" customFormat="1" ht="12.75" customHeight="1">
      <c r="A4" s="12"/>
      <c r="B4" s="12"/>
      <c r="C4" s="14"/>
      <c r="D4" s="10" t="s">
        <v>32</v>
      </c>
      <c r="E4" s="12"/>
      <c r="F4" s="15"/>
      <c r="G4" s="10" t="s">
        <v>33</v>
      </c>
      <c r="H4" s="12"/>
      <c r="I4" s="12"/>
    </row>
    <row r="6" spans="1:15">
      <c r="A6" t="s">
        <v>34</v>
      </c>
      <c r="C6" s="190" t="str">
        <f>Product</f>
        <v>Methanol</v>
      </c>
      <c r="D6" s="191"/>
      <c r="E6" s="191"/>
      <c r="F6" s="192"/>
    </row>
    <row r="8" spans="1:15">
      <c r="A8" t="s">
        <v>35</v>
      </c>
      <c r="D8" s="134">
        <f>AnnCap</f>
        <v>56000000</v>
      </c>
      <c r="E8" s="15" t="str">
        <f>Units&amp;" per Year"</f>
        <v>Gal per Year</v>
      </c>
    </row>
    <row r="10" spans="1:15">
      <c r="A10" s="5" t="s">
        <v>36</v>
      </c>
      <c r="D10" s="3" t="s">
        <v>37</v>
      </c>
      <c r="E10" s="3" t="s">
        <v>38</v>
      </c>
      <c r="F10" s="3" t="s">
        <v>39</v>
      </c>
      <c r="H10" s="6" t="str">
        <f>"COST PER "&amp; Units</f>
        <v>COST PER Gal</v>
      </c>
      <c r="I10" s="1"/>
    </row>
    <row r="11" spans="1:15">
      <c r="D11" t="s">
        <v>40</v>
      </c>
      <c r="E11" s="3" t="s">
        <v>41</v>
      </c>
      <c r="F11" s="3" t="s">
        <v>42</v>
      </c>
      <c r="H11" s="6" t="s">
        <v>43</v>
      </c>
      <c r="I11" s="1"/>
      <c r="K11" s="113"/>
    </row>
    <row r="12" spans="1:15">
      <c r="E12" s="3" t="s">
        <v>44</v>
      </c>
      <c r="F12" s="3" t="str">
        <f>Units&amp;" PRODUCT"</f>
        <v>Gal PRODUCT</v>
      </c>
      <c r="H12" s="1"/>
      <c r="I12" s="1"/>
    </row>
    <row r="13" spans="1:15">
      <c r="B13" t="s">
        <v>184</v>
      </c>
      <c r="C13" s="4"/>
      <c r="D13" s="172" t="s">
        <v>258</v>
      </c>
      <c r="E13" s="179">
        <f>80/907.18</f>
        <v>8.818536563857228E-2</v>
      </c>
      <c r="F13" s="137">
        <f>L13/D8</f>
        <v>0.21358496428571425</v>
      </c>
      <c r="G13" s="155" t="s">
        <v>275</v>
      </c>
      <c r="H13" s="64">
        <f>E13*F13</f>
        <v>1.8835068170437112E-2</v>
      </c>
      <c r="I13" s="65"/>
      <c r="K13">
        <v>4096.1499999999996</v>
      </c>
      <c r="L13">
        <f>K13*2920</f>
        <v>11960757.999999998</v>
      </c>
      <c r="M13">
        <f>L13*E13</f>
        <v>1054763.8175444785</v>
      </c>
    </row>
    <row r="14" spans="1:15">
      <c r="B14" t="s">
        <v>185</v>
      </c>
      <c r="C14" s="4"/>
      <c r="D14" s="172" t="s">
        <v>258</v>
      </c>
      <c r="E14" s="136">
        <f>0.005/3</f>
        <v>1.6666666666666668E-3</v>
      </c>
      <c r="F14" s="136">
        <f>L14/D8</f>
        <v>216.86214285714286</v>
      </c>
      <c r="G14" s="155" t="s">
        <v>276</v>
      </c>
      <c r="H14" s="64">
        <f>E14*F14</f>
        <v>0.36143690476190476</v>
      </c>
      <c r="I14" s="65"/>
      <c r="K14" s="113">
        <f>4.159*10^6</f>
        <v>4159000</v>
      </c>
      <c r="L14" s="114">
        <f>K14*2920</f>
        <v>12144280000</v>
      </c>
      <c r="M14" s="113">
        <f>L14*E14</f>
        <v>20240466.666666668</v>
      </c>
      <c r="O14" s="113"/>
    </row>
    <row r="15" spans="1:15">
      <c r="B15" t="s">
        <v>186</v>
      </c>
      <c r="C15" s="4"/>
      <c r="D15" s="172" t="s">
        <v>258</v>
      </c>
      <c r="E15" s="177">
        <f>0.0045/3.79</f>
        <v>1.1873350923482849E-3</v>
      </c>
      <c r="F15" s="136">
        <f>L15/D8</f>
        <v>250.26740562500001</v>
      </c>
      <c r="G15" s="155" t="s">
        <v>277</v>
      </c>
      <c r="H15" s="64">
        <f>E15*F15</f>
        <v>0.29715127316952505</v>
      </c>
      <c r="I15" s="65"/>
      <c r="K15">
        <v>4799648.875</v>
      </c>
      <c r="L15">
        <f>K15*2920</f>
        <v>14014974715</v>
      </c>
      <c r="M15" s="114">
        <f>E15*L15</f>
        <v>16640471.297493404</v>
      </c>
      <c r="N15" s="114"/>
    </row>
    <row r="16" spans="1:15">
      <c r="B16" t="s">
        <v>45</v>
      </c>
      <c r="D16" s="172" t="s">
        <v>258</v>
      </c>
      <c r="E16" s="136">
        <v>0.25</v>
      </c>
      <c r="F16" s="136">
        <f>L16/D8</f>
        <v>5.0960465714285714</v>
      </c>
      <c r="G16" s="155" t="s">
        <v>278</v>
      </c>
      <c r="H16" s="64">
        <f>E16*F16</f>
        <v>1.2740116428571429</v>
      </c>
      <c r="I16" s="65"/>
      <c r="K16">
        <v>97732.4</v>
      </c>
      <c r="L16">
        <f>K16*2920</f>
        <v>285378608</v>
      </c>
      <c r="M16">
        <f>L16*E16</f>
        <v>71344652</v>
      </c>
    </row>
    <row r="17" spans="1:16">
      <c r="B17" s="155" t="s">
        <v>279</v>
      </c>
      <c r="D17" s="178" t="s">
        <v>258</v>
      </c>
      <c r="E17" s="180">
        <v>-3.5</v>
      </c>
      <c r="F17" s="180">
        <f>(746*2920)/D8</f>
        <v>3.8898571428571428E-2</v>
      </c>
      <c r="G17" s="155" t="s">
        <v>280</v>
      </c>
      <c r="H17" s="3">
        <f>F17*E17</f>
        <v>-0.13614499999999999</v>
      </c>
    </row>
    <row r="18" spans="1:16">
      <c r="A18" t="s">
        <v>46</v>
      </c>
      <c r="E18"/>
      <c r="F18"/>
      <c r="H18" s="66"/>
      <c r="I18" s="64">
        <f>SUM(H13:H16)</f>
        <v>1.9514348889590099</v>
      </c>
    </row>
    <row r="19" spans="1:16">
      <c r="A19" s="5" t="s">
        <v>47</v>
      </c>
      <c r="H19" s="66"/>
      <c r="I19" s="65"/>
    </row>
    <row r="20" spans="1:16">
      <c r="B20" t="s">
        <v>48</v>
      </c>
      <c r="D20" s="172" t="s">
        <v>258</v>
      </c>
      <c r="E20" s="135">
        <v>1.729E-2</v>
      </c>
      <c r="F20" s="135">
        <f>E20/D8/365</f>
        <v>8.4589041095890413E-13</v>
      </c>
      <c r="H20" s="64">
        <f t="shared" ref="H20:H28" si="0">E20*F20</f>
        <v>1.4625445205479453E-14</v>
      </c>
      <c r="I20" s="65"/>
      <c r="K20">
        <v>0</v>
      </c>
    </row>
    <row r="21" spans="1:16">
      <c r="B21" t="s">
        <v>49</v>
      </c>
      <c r="D21" s="172" t="s">
        <v>258</v>
      </c>
      <c r="E21" s="135">
        <v>1.257E-2</v>
      </c>
      <c r="F21" s="135">
        <f>E21/D8/365</f>
        <v>6.1497064579256361E-13</v>
      </c>
      <c r="H21" s="64">
        <f t="shared" si="0"/>
        <v>7.7301810176125246E-15</v>
      </c>
      <c r="I21" s="65"/>
      <c r="L21" s="115"/>
      <c r="M21" s="3"/>
      <c r="N21" s="3"/>
      <c r="O21" s="3"/>
      <c r="P21" s="3"/>
    </row>
    <row r="22" spans="1:16">
      <c r="B22" t="s">
        <v>50</v>
      </c>
      <c r="D22" s="135" t="s">
        <v>51</v>
      </c>
      <c r="E22" s="135"/>
      <c r="F22" s="135"/>
      <c r="H22" s="64">
        <f t="shared" si="0"/>
        <v>0</v>
      </c>
      <c r="I22" s="65"/>
      <c r="L22" s="4"/>
      <c r="M22" s="3"/>
      <c r="N22" s="3"/>
      <c r="O22" s="66"/>
      <c r="P22" s="25"/>
    </row>
    <row r="23" spans="1:16">
      <c r="B23" t="s">
        <v>52</v>
      </c>
      <c r="D23" s="172" t="s">
        <v>260</v>
      </c>
      <c r="E23" s="135">
        <v>1.9E-2</v>
      </c>
      <c r="F23" s="135">
        <f>E23/D8/365</f>
        <v>9.2954990215264178E-13</v>
      </c>
      <c r="H23" s="64">
        <f t="shared" si="0"/>
        <v>1.7661448140900193E-14</v>
      </c>
      <c r="I23" s="65"/>
      <c r="L23" s="4"/>
      <c r="M23" s="3"/>
      <c r="N23" s="3"/>
      <c r="O23" s="66"/>
      <c r="P23" s="25"/>
    </row>
    <row r="24" spans="1:16">
      <c r="B24" t="s">
        <v>53</v>
      </c>
      <c r="D24" s="135" t="s">
        <v>54</v>
      </c>
      <c r="E24" s="135"/>
      <c r="F24" s="135"/>
      <c r="H24" s="64">
        <f t="shared" si="0"/>
        <v>0</v>
      </c>
      <c r="I24" s="65"/>
      <c r="L24" s="4"/>
      <c r="M24" s="3"/>
      <c r="N24" s="3"/>
      <c r="O24" s="25"/>
      <c r="P24" s="25"/>
    </row>
    <row r="25" spans="1:16">
      <c r="B25" t="s">
        <v>55</v>
      </c>
      <c r="D25" s="135" t="s">
        <v>56</v>
      </c>
      <c r="E25" s="135">
        <v>0.06</v>
      </c>
      <c r="F25" s="138">
        <f>E25/D8/365</f>
        <v>2.9354207436399218E-12</v>
      </c>
      <c r="H25" s="64">
        <f t="shared" si="0"/>
        <v>1.7612524461839531E-13</v>
      </c>
      <c r="I25" s="65"/>
      <c r="L25" s="4"/>
      <c r="M25" s="3"/>
      <c r="N25" s="3"/>
      <c r="O25" s="25"/>
      <c r="P25" s="25"/>
    </row>
    <row r="26" spans="1:16">
      <c r="B26" t="s">
        <v>57</v>
      </c>
      <c r="D26" s="135" t="s">
        <v>54</v>
      </c>
      <c r="E26" s="135"/>
      <c r="F26" s="138"/>
      <c r="H26" s="64">
        <f t="shared" si="0"/>
        <v>0</v>
      </c>
      <c r="I26" s="65"/>
      <c r="L26" s="4"/>
      <c r="M26" s="3"/>
      <c r="N26" s="3"/>
      <c r="O26" s="25"/>
      <c r="P26" s="66"/>
    </row>
    <row r="27" spans="1:16">
      <c r="B27" s="155" t="s">
        <v>281</v>
      </c>
      <c r="D27" s="172" t="s">
        <v>258</v>
      </c>
      <c r="E27" s="135">
        <f>0.19*2920</f>
        <v>554.79999999999995</v>
      </c>
      <c r="F27" s="135">
        <f>E27/D8</f>
        <v>9.9071428571428567E-6</v>
      </c>
      <c r="H27" s="64">
        <f t="shared" si="0"/>
        <v>5.4964828571428563E-3</v>
      </c>
      <c r="I27" s="65"/>
      <c r="L27" s="4"/>
      <c r="M27" s="3"/>
      <c r="N27" s="3"/>
      <c r="O27" s="3"/>
      <c r="P27" s="116"/>
    </row>
    <row r="28" spans="1:16">
      <c r="B28" t="s">
        <v>58</v>
      </c>
      <c r="D28" s="172" t="s">
        <v>258</v>
      </c>
      <c r="E28" s="172">
        <f>0.31*2920</f>
        <v>905.2</v>
      </c>
      <c r="F28" s="135">
        <f>E28/D8</f>
        <v>1.6164285714285716E-5</v>
      </c>
      <c r="H28" s="64">
        <f t="shared" si="0"/>
        <v>1.4631911428571431E-2</v>
      </c>
      <c r="I28" s="65"/>
      <c r="L28" s="4"/>
      <c r="M28" s="3"/>
      <c r="N28" s="3"/>
      <c r="O28" s="3"/>
      <c r="P28" s="117"/>
    </row>
    <row r="29" spans="1:16">
      <c r="A29" t="s">
        <v>59</v>
      </c>
      <c r="H29" s="66"/>
      <c r="I29" s="64">
        <f>SUM(H20:H28)</f>
        <v>2.0128394285930429E-2</v>
      </c>
    </row>
    <row r="30" spans="1:16">
      <c r="H30" s="66"/>
      <c r="I30" s="65"/>
    </row>
    <row r="31" spans="1:16">
      <c r="A31" s="5" t="s">
        <v>60</v>
      </c>
      <c r="H31" s="66"/>
      <c r="I31" s="65"/>
    </row>
    <row r="32" spans="1:16">
      <c r="B32" t="s">
        <v>61</v>
      </c>
      <c r="D32" s="172"/>
      <c r="E32" s="135"/>
      <c r="F32" s="135">
        <f>E32/D8</f>
        <v>0</v>
      </c>
      <c r="H32" s="64">
        <f>E32*F32</f>
        <v>0</v>
      </c>
      <c r="I32" s="65"/>
    </row>
    <row r="33" spans="1:10">
      <c r="B33" t="s">
        <v>62</v>
      </c>
      <c r="D33" s="139"/>
      <c r="E33" s="135"/>
      <c r="F33" s="135"/>
      <c r="H33" s="64">
        <f>E33*F33</f>
        <v>0</v>
      </c>
      <c r="I33" s="65"/>
    </row>
    <row r="34" spans="1:10">
      <c r="B34" t="s">
        <v>63</v>
      </c>
      <c r="D34" s="139"/>
      <c r="E34" s="135"/>
      <c r="F34" s="135"/>
      <c r="H34" s="64">
        <f>E34*F34</f>
        <v>0</v>
      </c>
      <c r="I34" s="65"/>
    </row>
    <row r="35" spans="1:10">
      <c r="B35" t="s">
        <v>64</v>
      </c>
      <c r="D35" s="139"/>
      <c r="E35" s="135"/>
      <c r="F35" s="135"/>
      <c r="H35" s="64">
        <f>E35*F35</f>
        <v>0</v>
      </c>
      <c r="I35" s="65"/>
    </row>
    <row r="36" spans="1:10">
      <c r="A36" t="s">
        <v>65</v>
      </c>
      <c r="H36" s="67"/>
      <c r="I36" s="64">
        <f>SUM(H32:H35)</f>
        <v>0</v>
      </c>
    </row>
    <row r="37" spans="1:10">
      <c r="H37" s="66"/>
      <c r="I37" s="67"/>
    </row>
    <row r="38" spans="1:10">
      <c r="A38" t="s">
        <v>66</v>
      </c>
      <c r="H38" s="66"/>
      <c r="I38" s="140">
        <v>0</v>
      </c>
    </row>
    <row r="39" spans="1:10">
      <c r="A39" t="s">
        <v>67</v>
      </c>
      <c r="H39" s="66"/>
      <c r="I39" s="140">
        <v>0</v>
      </c>
    </row>
    <row r="40" spans="1:10">
      <c r="H40" s="66"/>
      <c r="I40" s="65"/>
    </row>
    <row r="41" spans="1:10">
      <c r="H41" s="66"/>
      <c r="I41" s="65"/>
    </row>
    <row r="42" spans="1:10">
      <c r="A42" t="s">
        <v>187</v>
      </c>
      <c r="D42" s="135" t="s">
        <v>188</v>
      </c>
      <c r="E42" s="135"/>
      <c r="F42" s="135"/>
      <c r="H42" s="66"/>
      <c r="I42" s="64">
        <f>-E42*F42</f>
        <v>0</v>
      </c>
    </row>
    <row r="43" spans="1:10">
      <c r="H43" s="66"/>
      <c r="I43" s="65"/>
    </row>
    <row r="44" spans="1:10">
      <c r="A44" t="s">
        <v>68</v>
      </c>
      <c r="H44" s="66"/>
      <c r="I44" s="140">
        <v>0</v>
      </c>
    </row>
    <row r="45" spans="1:10">
      <c r="H45" s="25"/>
      <c r="I45" s="24"/>
    </row>
    <row r="46" spans="1:10">
      <c r="A46" s="5" t="s">
        <v>69</v>
      </c>
      <c r="H46" s="25"/>
      <c r="I46" s="63">
        <f>SUM(I18,I29,I36,I38:I44)</f>
        <v>1.9715632832449403</v>
      </c>
      <c r="J46" t="str">
        <f>+"per "&amp;Units</f>
        <v>per Gal</v>
      </c>
    </row>
    <row r="47" spans="1:10">
      <c r="I47" s="22">
        <f>I46*D8/1000</f>
        <v>110407.54386171665</v>
      </c>
      <c r="J47" t="s">
        <v>172</v>
      </c>
    </row>
    <row r="55" customFormat="1"/>
    <row r="56" customFormat="1"/>
    <row r="57" customFormat="1"/>
    <row r="58" customFormat="1" ht="12.75" customHeight="1"/>
    <row r="59" customFormat="1"/>
    <row r="60" customFormat="1" ht="12.75" customHeight="1"/>
    <row r="61" customFormat="1"/>
    <row r="62" customFormat="1" ht="12.75" customHeight="1"/>
    <row r="63" customFormat="1"/>
    <row r="64" customFormat="1" ht="12.75" customHeigh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</sheetData>
  <mergeCells count="1">
    <mergeCell ref="C6:F6"/>
  </mergeCells>
  <phoneticPr fontId="16" type="noConversion"/>
  <printOptions horizontalCentered="1" verticalCentered="1" gridLines="1"/>
  <pageMargins left="0.75" right="0.75" top="0.5" bottom="0.5" header="0" footer="0"/>
  <pageSetup scale="52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66"/>
  <sheetViews>
    <sheetView showZeros="0" topLeftCell="A9" workbookViewId="0">
      <selection activeCell="B43" sqref="B43"/>
    </sheetView>
  </sheetViews>
  <sheetFormatPr baseColWidth="10" defaultColWidth="8.83203125" defaultRowHeight="13"/>
  <cols>
    <col min="1" max="1" width="6.1640625" customWidth="1"/>
    <col min="2" max="2" width="11" customWidth="1"/>
    <col min="3" max="3" width="7.33203125" customWidth="1"/>
    <col min="4" max="4" width="11.6640625" customWidth="1"/>
    <col min="5" max="5" width="11" customWidth="1"/>
    <col min="8" max="9" width="9.1640625" style="36" customWidth="1"/>
  </cols>
  <sheetData>
    <row r="1" spans="1:9" ht="20">
      <c r="A1" s="2" t="s">
        <v>30</v>
      </c>
      <c r="B1" s="2"/>
      <c r="C1" s="2"/>
      <c r="D1" s="2"/>
      <c r="E1" s="2"/>
      <c r="F1" s="2"/>
      <c r="G1" s="2"/>
      <c r="H1" s="34"/>
      <c r="I1" s="34"/>
    </row>
    <row r="2" spans="1:9" ht="20">
      <c r="A2" s="2" t="s">
        <v>70</v>
      </c>
      <c r="B2" s="2"/>
      <c r="C2" s="2"/>
      <c r="D2" s="2"/>
      <c r="E2" s="2"/>
      <c r="F2" s="2"/>
      <c r="G2" s="2"/>
      <c r="H2" s="34"/>
      <c r="I2" s="34"/>
    </row>
    <row r="3" spans="1:9" ht="12.75" customHeight="1">
      <c r="A3" s="2"/>
      <c r="B3" s="2"/>
      <c r="C3" s="2"/>
      <c r="D3" s="2"/>
      <c r="E3" s="2"/>
      <c r="F3" s="2"/>
      <c r="G3" s="2"/>
      <c r="H3" s="34"/>
      <c r="I3" s="34"/>
    </row>
    <row r="4" spans="1:9" ht="12.75" customHeight="1">
      <c r="A4" s="2"/>
      <c r="B4" s="2"/>
      <c r="C4" s="8"/>
      <c r="D4" s="11" t="s">
        <v>32</v>
      </c>
      <c r="E4" s="2"/>
      <c r="F4" s="9"/>
      <c r="G4" s="11" t="s">
        <v>33</v>
      </c>
      <c r="H4" s="34"/>
      <c r="I4" s="34"/>
    </row>
    <row r="5" spans="1:9">
      <c r="E5" s="3"/>
      <c r="F5" s="3"/>
      <c r="H5" s="35"/>
    </row>
    <row r="6" spans="1:9">
      <c r="A6" t="s">
        <v>34</v>
      </c>
      <c r="C6" s="190"/>
      <c r="D6" s="191"/>
      <c r="E6" s="191"/>
      <c r="F6" s="191"/>
      <c r="G6" s="192"/>
      <c r="H6" s="35"/>
    </row>
    <row r="7" spans="1:9">
      <c r="E7" s="3"/>
      <c r="F7" s="3"/>
      <c r="H7" s="37"/>
    </row>
    <row r="8" spans="1:9">
      <c r="A8" t="s">
        <v>136</v>
      </c>
      <c r="D8" s="142">
        <f>AnnCap</f>
        <v>56000000</v>
      </c>
      <c r="E8" s="141" t="str">
        <f>Units&amp;" per Year"</f>
        <v>Gal per Year</v>
      </c>
      <c r="F8" s="3"/>
      <c r="H8" s="35"/>
    </row>
    <row r="9" spans="1:9">
      <c r="E9" s="3"/>
      <c r="F9" s="3"/>
      <c r="H9" s="35"/>
    </row>
    <row r="10" spans="1:9">
      <c r="A10" t="s">
        <v>157</v>
      </c>
      <c r="D10" s="143">
        <f>INVEST</f>
        <v>19800</v>
      </c>
      <c r="E10" s="6" t="s">
        <v>177</v>
      </c>
      <c r="F10" s="3"/>
      <c r="H10" s="35"/>
    </row>
    <row r="11" spans="1:9">
      <c r="E11" s="3"/>
      <c r="F11" s="3"/>
      <c r="H11" s="35"/>
    </row>
    <row r="12" spans="1:9">
      <c r="A12" s="5" t="s">
        <v>71</v>
      </c>
      <c r="E12" s="3"/>
      <c r="F12" s="3"/>
      <c r="H12" s="38" t="s">
        <v>72</v>
      </c>
      <c r="I12" s="38"/>
    </row>
    <row r="13" spans="1:9">
      <c r="B13" t="s">
        <v>73</v>
      </c>
      <c r="D13" s="144">
        <v>48</v>
      </c>
      <c r="E13" s="162" t="s">
        <v>259</v>
      </c>
      <c r="F13" s="3"/>
      <c r="H13" s="39" t="s">
        <v>173</v>
      </c>
      <c r="I13" s="39"/>
    </row>
    <row r="14" spans="1:9">
      <c r="B14" t="s">
        <v>74</v>
      </c>
      <c r="D14" s="145">
        <v>150</v>
      </c>
      <c r="E14" s="6" t="s">
        <v>178</v>
      </c>
      <c r="F14" s="3"/>
      <c r="H14" s="40">
        <f>D13*D14</f>
        <v>7200</v>
      </c>
    </row>
    <row r="15" spans="1:9">
      <c r="B15" t="s">
        <v>75</v>
      </c>
      <c r="D15" s="133">
        <v>0.4</v>
      </c>
      <c r="E15" s="3" t="s">
        <v>76</v>
      </c>
      <c r="F15" s="3"/>
      <c r="H15" s="40">
        <f>D15*H14</f>
        <v>2880</v>
      </c>
    </row>
    <row r="16" spans="1:9">
      <c r="B16" t="s">
        <v>77</v>
      </c>
      <c r="E16" s="146"/>
      <c r="F16" s="6" t="s">
        <v>76</v>
      </c>
      <c r="H16" s="40">
        <f>E16*H14</f>
        <v>0</v>
      </c>
    </row>
    <row r="17" spans="1:9">
      <c r="A17" t="s">
        <v>78</v>
      </c>
      <c r="E17" s="3"/>
      <c r="F17" s="3"/>
      <c r="H17" s="35"/>
      <c r="I17" s="40">
        <f>SUM(H14:H16)</f>
        <v>10080</v>
      </c>
    </row>
    <row r="18" spans="1:9">
      <c r="A18" s="155" t="s">
        <v>79</v>
      </c>
      <c r="E18" s="146"/>
      <c r="F18" s="3" t="s">
        <v>76</v>
      </c>
      <c r="H18" s="35"/>
      <c r="I18" s="40">
        <f>E18*H14</f>
        <v>0</v>
      </c>
    </row>
    <row r="19" spans="1:9">
      <c r="E19" s="3"/>
      <c r="F19" s="3"/>
      <c r="H19" s="35"/>
    </row>
    <row r="20" spans="1:9">
      <c r="A20" s="5" t="s">
        <v>80</v>
      </c>
      <c r="E20" s="3"/>
      <c r="F20" s="3"/>
      <c r="H20" s="35"/>
    </row>
    <row r="21" spans="1:9">
      <c r="B21" t="s">
        <v>81</v>
      </c>
      <c r="E21" s="133"/>
      <c r="F21" s="6" t="s">
        <v>82</v>
      </c>
      <c r="H21" s="35"/>
      <c r="I21" s="40">
        <f>E21*INVEST</f>
        <v>0</v>
      </c>
    </row>
    <row r="22" spans="1:9">
      <c r="B22" t="s">
        <v>83</v>
      </c>
      <c r="E22" s="133"/>
      <c r="F22" s="6" t="s">
        <v>84</v>
      </c>
      <c r="H22" s="40">
        <f>E22*E21*INVEST</f>
        <v>0</v>
      </c>
    </row>
    <row r="23" spans="1:9">
      <c r="B23" t="s">
        <v>85</v>
      </c>
      <c r="E23" s="133"/>
      <c r="F23" s="6" t="s">
        <v>84</v>
      </c>
      <c r="H23" s="40">
        <f>E23*E21*INVEST</f>
        <v>0</v>
      </c>
    </row>
    <row r="24" spans="1:9">
      <c r="E24" s="3"/>
      <c r="F24" s="3"/>
      <c r="H24" s="35"/>
    </row>
    <row r="25" spans="1:9">
      <c r="A25" s="5" t="s">
        <v>86</v>
      </c>
      <c r="E25" s="3"/>
      <c r="F25" s="3"/>
      <c r="H25" s="35"/>
    </row>
    <row r="26" spans="1:9">
      <c r="B26" t="s">
        <v>87</v>
      </c>
      <c r="C26" s="133">
        <v>1.25</v>
      </c>
      <c r="D26" t="s">
        <v>88</v>
      </c>
      <c r="E26" s="3"/>
      <c r="F26" s="3"/>
      <c r="H26" s="35"/>
      <c r="I26" s="40">
        <f>C26*(H14+H16+H22)</f>
        <v>9000</v>
      </c>
    </row>
    <row r="27" spans="1:9">
      <c r="B27" s="7" t="s">
        <v>89</v>
      </c>
      <c r="E27" s="133"/>
      <c r="F27" s="6" t="s">
        <v>90</v>
      </c>
      <c r="H27" s="35"/>
      <c r="I27" s="40">
        <f>E27*INVEST</f>
        <v>0</v>
      </c>
    </row>
    <row r="28" spans="1:9">
      <c r="B28" s="7"/>
      <c r="F28" s="6"/>
      <c r="H28" s="35"/>
    </row>
    <row r="29" spans="1:9">
      <c r="A29" s="5" t="s">
        <v>91</v>
      </c>
      <c r="B29" s="7"/>
      <c r="F29" s="6"/>
      <c r="H29" s="35"/>
    </row>
    <row r="30" spans="1:9">
      <c r="B30" s="7" t="s">
        <v>92</v>
      </c>
      <c r="E30" s="133"/>
      <c r="F30" s="6" t="s">
        <v>90</v>
      </c>
      <c r="H30" s="40">
        <f>E30*INVEST</f>
        <v>0</v>
      </c>
    </row>
    <row r="31" spans="1:9">
      <c r="B31" s="7" t="s">
        <v>93</v>
      </c>
      <c r="E31" s="133"/>
      <c r="F31" s="6" t="s">
        <v>90</v>
      </c>
      <c r="H31" s="40">
        <f>E31*INVEST</f>
        <v>0</v>
      </c>
    </row>
    <row r="32" spans="1:9">
      <c r="A32" t="s">
        <v>94</v>
      </c>
      <c r="B32" s="7"/>
      <c r="E32" s="6"/>
      <c r="F32" s="6"/>
      <c r="H32" s="41"/>
      <c r="I32" s="40">
        <f>H30+H31</f>
        <v>0</v>
      </c>
    </row>
    <row r="34" spans="1:10">
      <c r="A34" s="5" t="s">
        <v>95</v>
      </c>
    </row>
    <row r="35" spans="1:10">
      <c r="B35" s="133">
        <v>0.02</v>
      </c>
      <c r="C35" t="s">
        <v>90</v>
      </c>
      <c r="I35" s="40">
        <f>B35*INVEST</f>
        <v>396</v>
      </c>
    </row>
    <row r="37" spans="1:10" ht="12.75" customHeight="1">
      <c r="A37" s="5" t="s">
        <v>96</v>
      </c>
      <c r="D37" s="147">
        <v>2.6499999999999999E-2</v>
      </c>
      <c r="E37" t="str">
        <f>" per annual "&amp;Units&amp;" of Capacity"</f>
        <v xml:space="preserve"> per annual Gal of Capacity</v>
      </c>
      <c r="I37" s="40">
        <f>D37*AnnCap/1000</f>
        <v>1484</v>
      </c>
    </row>
    <row r="39" spans="1:10">
      <c r="A39" s="5" t="s">
        <v>97</v>
      </c>
      <c r="H39" s="35" t="s">
        <v>137</v>
      </c>
      <c r="I39" s="40">
        <f>I17+I18+I21+I26+I27+I32+I35+I37</f>
        <v>20960</v>
      </c>
      <c r="J39" t="s">
        <v>174</v>
      </c>
    </row>
    <row r="40" spans="1:10">
      <c r="I40" s="72">
        <f>IF(D8=0,0,I39/AnnCap*1000)</f>
        <v>0.37428571428571428</v>
      </c>
      <c r="J40" t="str">
        <f>+"per "&amp;Units</f>
        <v>per Gal</v>
      </c>
    </row>
    <row r="42" spans="1:10">
      <c r="A42" s="5" t="s">
        <v>98</v>
      </c>
    </row>
    <row r="43" spans="1:10">
      <c r="B43" s="148">
        <v>0</v>
      </c>
      <c r="C43" t="s">
        <v>90</v>
      </c>
      <c r="I43" s="40">
        <v>0</v>
      </c>
    </row>
    <row r="44" spans="1:10">
      <c r="B44" s="118" t="s">
        <v>190</v>
      </c>
    </row>
    <row r="46" spans="1:10">
      <c r="A46" s="5" t="s">
        <v>99</v>
      </c>
      <c r="H46" s="35" t="s">
        <v>137</v>
      </c>
      <c r="I46" s="40">
        <f>I39+I43</f>
        <v>20960</v>
      </c>
      <c r="J46" t="s">
        <v>174</v>
      </c>
    </row>
    <row r="47" spans="1:10">
      <c r="I47" s="72">
        <f>IF(D8=0,0,I46/AnnCap*1000)</f>
        <v>0.37428571428571428</v>
      </c>
      <c r="J47" t="str">
        <f>+"per "&amp;LEFT(E8,3)</f>
        <v>per Gal</v>
      </c>
    </row>
    <row r="54" spans="2:9">
      <c r="H54"/>
      <c r="I54"/>
    </row>
    <row r="55" spans="2:9">
      <c r="B55" s="4"/>
      <c r="H55"/>
      <c r="I55"/>
    </row>
    <row r="56" spans="2:9">
      <c r="B56" s="4"/>
      <c r="D56" s="51"/>
      <c r="E56" s="51"/>
      <c r="F56" s="51"/>
      <c r="G56" s="51"/>
      <c r="H56" s="51"/>
      <c r="I56" s="51"/>
    </row>
    <row r="57" spans="2:9">
      <c r="B57" s="4"/>
    </row>
    <row r="58" spans="2:9">
      <c r="B58" s="4"/>
      <c r="H58"/>
      <c r="I58"/>
    </row>
    <row r="59" spans="2:9">
      <c r="B59" s="4"/>
      <c r="C59" s="36"/>
      <c r="D59" s="36"/>
      <c r="E59" s="36"/>
      <c r="F59" s="36"/>
      <c r="G59" s="36"/>
    </row>
    <row r="60" spans="2:9">
      <c r="B60" s="4"/>
      <c r="C60" s="36"/>
      <c r="D60" s="36"/>
      <c r="E60" s="36"/>
      <c r="F60" s="36"/>
      <c r="G60" s="36"/>
    </row>
    <row r="61" spans="2:9">
      <c r="H61"/>
      <c r="I61"/>
    </row>
    <row r="62" spans="2:9">
      <c r="B62" s="4"/>
      <c r="C62" s="111"/>
      <c r="D62" s="111"/>
      <c r="E62" s="111"/>
      <c r="F62" s="111"/>
      <c r="G62" s="111"/>
      <c r="H62" s="111"/>
      <c r="I62"/>
    </row>
    <row r="63" spans="2:9">
      <c r="B63" s="4"/>
      <c r="C63" s="111"/>
      <c r="D63" s="111"/>
      <c r="E63" s="111"/>
      <c r="F63" s="111"/>
      <c r="G63" s="111"/>
      <c r="H63" s="111"/>
      <c r="I63" s="111"/>
    </row>
    <row r="64" spans="2:9">
      <c r="B64" s="4"/>
      <c r="C64" s="111"/>
      <c r="D64" s="111"/>
      <c r="E64" s="111"/>
      <c r="F64" s="111"/>
      <c r="G64" s="111"/>
      <c r="H64" s="111"/>
      <c r="I64" s="111"/>
    </row>
    <row r="65" spans="2:9">
      <c r="B65" s="4"/>
      <c r="C65" s="111"/>
      <c r="D65" s="111"/>
      <c r="E65" s="111"/>
      <c r="F65" s="111"/>
      <c r="G65" s="111"/>
      <c r="H65" s="111"/>
      <c r="I65" s="111"/>
    </row>
    <row r="66" spans="2:9">
      <c r="B66" s="4"/>
      <c r="D66" s="84"/>
      <c r="E66" s="84"/>
      <c r="F66" s="112"/>
      <c r="G66" s="112"/>
      <c r="H66" s="112"/>
      <c r="I66" s="112"/>
    </row>
  </sheetData>
  <mergeCells count="1">
    <mergeCell ref="C6:G6"/>
  </mergeCells>
  <phoneticPr fontId="16" type="noConversion"/>
  <printOptions horizontalCentered="1" verticalCentered="1" gridLines="1"/>
  <pageMargins left="0.75" right="0.75" top="0.5" bottom="0.5" header="0" footer="0"/>
  <pageSetup scale="91" orientation="portrait" horizontalDpi="4294967292" verticalDpi="2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IV93"/>
  <sheetViews>
    <sheetView tabSelected="1" topLeftCell="A3" zoomScale="99" workbookViewId="0">
      <selection activeCell="C55" sqref="C55"/>
    </sheetView>
  </sheetViews>
  <sheetFormatPr baseColWidth="10" defaultColWidth="8.6640625" defaultRowHeight="13"/>
  <cols>
    <col min="1" max="1" width="26.83203125" bestFit="1" customWidth="1"/>
    <col min="2" max="2" width="9.6640625" bestFit="1" customWidth="1"/>
    <col min="3" max="3" width="9.33203125" customWidth="1"/>
    <col min="4" max="4" width="10.1640625" customWidth="1"/>
    <col min="5" max="5" width="13" customWidth="1"/>
    <col min="6" max="6" width="12.33203125" customWidth="1"/>
    <col min="7" max="7" width="13.33203125" customWidth="1"/>
    <col min="8" max="14" width="12.33203125" customWidth="1"/>
    <col min="15" max="18" width="12.6640625" bestFit="1" customWidth="1"/>
    <col min="19" max="24" width="12.6640625" customWidth="1"/>
    <col min="25" max="25" width="12.6640625" bestFit="1" customWidth="1"/>
  </cols>
  <sheetData>
    <row r="1" spans="1:8" ht="23">
      <c r="B1" s="17" t="s">
        <v>100</v>
      </c>
      <c r="C1" s="17"/>
      <c r="D1" s="17"/>
      <c r="E1" s="17"/>
      <c r="F1" s="17"/>
      <c r="G1" s="17"/>
      <c r="H1" s="17"/>
    </row>
    <row r="3" spans="1:8">
      <c r="C3" s="1"/>
      <c r="D3" s="18" t="s">
        <v>176</v>
      </c>
      <c r="E3" s="18"/>
      <c r="F3" s="18"/>
      <c r="G3" s="1"/>
    </row>
    <row r="4" spans="1:8">
      <c r="C4" s="1"/>
      <c r="D4" s="18"/>
      <c r="E4" s="18"/>
      <c r="F4" s="18"/>
      <c r="G4" s="1"/>
    </row>
    <row r="5" spans="1:8">
      <c r="A5" s="54" t="s">
        <v>101</v>
      </c>
      <c r="C5" s="1"/>
      <c r="D5" s="18"/>
      <c r="E5" s="18"/>
      <c r="F5" s="18"/>
      <c r="G5" s="1"/>
    </row>
    <row r="6" spans="1:8">
      <c r="A6" s="92" t="s">
        <v>102</v>
      </c>
      <c r="C6" s="1"/>
      <c r="D6" s="18"/>
      <c r="E6" s="18"/>
      <c r="F6" s="18"/>
      <c r="G6" s="1"/>
    </row>
    <row r="7" spans="1:8">
      <c r="A7" s="93" t="s">
        <v>103</v>
      </c>
      <c r="C7" s="1"/>
      <c r="D7" s="18"/>
      <c r="E7" s="18"/>
      <c r="F7" s="18"/>
      <c r="G7" s="1"/>
    </row>
    <row r="8" spans="1:8">
      <c r="A8" s="94" t="s">
        <v>104</v>
      </c>
      <c r="C8" s="1"/>
      <c r="D8" s="18"/>
      <c r="E8" s="18"/>
      <c r="F8" s="18"/>
      <c r="G8" s="1"/>
    </row>
    <row r="9" spans="1:8" ht="14.25" customHeight="1">
      <c r="A9" s="90" t="s">
        <v>167</v>
      </c>
    </row>
    <row r="10" spans="1:8" ht="14.25" customHeight="1"/>
    <row r="11" spans="1:8">
      <c r="B11" s="99"/>
      <c r="C11" s="4" t="s">
        <v>105</v>
      </c>
      <c r="D11" s="69">
        <v>8.5000000000000006E-2</v>
      </c>
      <c r="F11" t="s">
        <v>106</v>
      </c>
      <c r="G11" s="69">
        <v>0.04</v>
      </c>
      <c r="H11" t="s">
        <v>152</v>
      </c>
    </row>
    <row r="12" spans="1:8">
      <c r="B12" s="99"/>
      <c r="C12" s="4" t="s">
        <v>199</v>
      </c>
      <c r="D12" s="70">
        <f>INVEST</f>
        <v>19800</v>
      </c>
      <c r="E12" t="s">
        <v>177</v>
      </c>
      <c r="F12" t="s">
        <v>106</v>
      </c>
      <c r="G12" s="69">
        <v>0.04</v>
      </c>
      <c r="H12" t="s">
        <v>151</v>
      </c>
    </row>
    <row r="13" spans="1:8">
      <c r="B13" s="99"/>
      <c r="C13" s="4" t="s">
        <v>166</v>
      </c>
      <c r="D13" s="96">
        <v>2.4907463942616159</v>
      </c>
      <c r="E13" t="s">
        <v>108</v>
      </c>
      <c r="F13" t="s">
        <v>107</v>
      </c>
    </row>
    <row r="14" spans="1:8" hidden="1">
      <c r="B14" s="99"/>
      <c r="C14" s="4"/>
    </row>
    <row r="15" spans="1:8" hidden="1">
      <c r="B15" s="99"/>
    </row>
    <row r="16" spans="1:8" ht="24">
      <c r="A16" s="119" t="s">
        <v>175</v>
      </c>
      <c r="C16" s="4" t="s">
        <v>160</v>
      </c>
      <c r="D16" s="16">
        <v>0.1</v>
      </c>
    </row>
    <row r="17" spans="1:256">
      <c r="C17" s="4" t="s">
        <v>161</v>
      </c>
      <c r="D17" s="87">
        <f>salvage_perct*TOTINVEST</f>
        <v>1980</v>
      </c>
    </row>
    <row r="18" spans="1:256">
      <c r="C18" s="4"/>
    </row>
    <row r="19" spans="1:256">
      <c r="A19" t="s">
        <v>180</v>
      </c>
      <c r="C19" s="4">
        <v>1.2500000000000001E-2</v>
      </c>
      <c r="D19" t="s">
        <v>181</v>
      </c>
      <c r="F19" s="95"/>
    </row>
    <row r="20" spans="1:256">
      <c r="A20" t="s">
        <v>182</v>
      </c>
      <c r="C20" s="4">
        <v>0.03</v>
      </c>
      <c r="D20" s="108" t="s">
        <v>181</v>
      </c>
    </row>
    <row r="21" spans="1:256">
      <c r="C21" s="4"/>
    </row>
    <row r="23" spans="1:256">
      <c r="B23" s="3" t="s">
        <v>109</v>
      </c>
      <c r="C23" s="1" t="s">
        <v>183</v>
      </c>
      <c r="D23" s="1"/>
      <c r="E23" s="3" t="s">
        <v>165</v>
      </c>
      <c r="F23" s="3">
        <v>1</v>
      </c>
      <c r="G23" s="3">
        <v>2</v>
      </c>
      <c r="H23" s="3">
        <v>3</v>
      </c>
      <c r="I23" s="3">
        <v>4</v>
      </c>
      <c r="J23" s="3">
        <v>5</v>
      </c>
      <c r="K23" s="3">
        <v>6</v>
      </c>
      <c r="L23" s="3">
        <v>7</v>
      </c>
      <c r="M23" s="3">
        <v>8</v>
      </c>
      <c r="N23" s="3">
        <v>9</v>
      </c>
      <c r="O23" s="3">
        <v>10</v>
      </c>
      <c r="P23" s="3">
        <v>11</v>
      </c>
      <c r="Q23" s="3">
        <v>12</v>
      </c>
      <c r="R23" s="3">
        <v>13</v>
      </c>
      <c r="S23" s="3">
        <v>14</v>
      </c>
      <c r="T23" s="3">
        <v>15</v>
      </c>
      <c r="U23" s="3">
        <v>16</v>
      </c>
      <c r="V23" s="3">
        <v>17</v>
      </c>
      <c r="W23" s="3">
        <v>18</v>
      </c>
      <c r="X23" s="3">
        <v>19</v>
      </c>
      <c r="Y23" s="3">
        <v>20</v>
      </c>
      <c r="Z23" s="3">
        <v>21</v>
      </c>
      <c r="AA23" s="3">
        <v>22</v>
      </c>
      <c r="AB23" s="3">
        <v>23</v>
      </c>
      <c r="AC23" s="3">
        <v>24</v>
      </c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</row>
    <row r="24" spans="1:256">
      <c r="B24" s="3">
        <v>2021</v>
      </c>
      <c r="C24" s="3">
        <v>2023</v>
      </c>
      <c r="D24" s="3">
        <v>2024</v>
      </c>
      <c r="E24" s="3">
        <v>2025</v>
      </c>
      <c r="F24" s="3">
        <v>2026</v>
      </c>
      <c r="G24" s="3">
        <v>2027</v>
      </c>
      <c r="H24" s="3">
        <v>2028</v>
      </c>
      <c r="I24" s="3">
        <v>2029</v>
      </c>
      <c r="J24" s="3">
        <v>2030</v>
      </c>
      <c r="K24" s="3">
        <v>2031</v>
      </c>
      <c r="L24" s="3">
        <v>2032</v>
      </c>
      <c r="M24" s="3">
        <v>2033</v>
      </c>
      <c r="N24" s="3">
        <v>2034</v>
      </c>
      <c r="O24" s="3">
        <v>2035</v>
      </c>
      <c r="P24" s="3">
        <v>2036</v>
      </c>
      <c r="Q24" s="3">
        <v>2037</v>
      </c>
      <c r="R24" s="3">
        <v>2038</v>
      </c>
      <c r="S24" s="3">
        <v>2039</v>
      </c>
      <c r="T24" s="3">
        <v>2040</v>
      </c>
      <c r="U24" s="3">
        <v>2041</v>
      </c>
      <c r="V24" s="3">
        <v>2042</v>
      </c>
      <c r="W24" s="3">
        <v>2043</v>
      </c>
      <c r="X24" s="3">
        <v>2044</v>
      </c>
      <c r="Y24" s="3">
        <v>2045</v>
      </c>
      <c r="Z24" s="3">
        <v>2046</v>
      </c>
      <c r="AA24" s="3">
        <v>2047</v>
      </c>
      <c r="AB24" s="3">
        <v>2048</v>
      </c>
      <c r="AC24" s="3">
        <v>2049</v>
      </c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spans="1:256" s="51" customFormat="1">
      <c r="A25" s="51" t="s">
        <v>110</v>
      </c>
      <c r="B25" s="71">
        <v>0</v>
      </c>
      <c r="C25" s="97">
        <v>0</v>
      </c>
      <c r="D25" s="71">
        <v>0</v>
      </c>
      <c r="E25" s="71">
        <v>0.5</v>
      </c>
      <c r="F25" s="71">
        <v>0.75</v>
      </c>
      <c r="G25" s="71">
        <v>1</v>
      </c>
      <c r="H25" s="71">
        <v>1</v>
      </c>
      <c r="I25" s="71">
        <v>1</v>
      </c>
      <c r="J25" s="71">
        <v>1</v>
      </c>
      <c r="K25" s="71">
        <v>1</v>
      </c>
      <c r="L25" s="71">
        <v>1</v>
      </c>
      <c r="M25" s="71">
        <v>1</v>
      </c>
      <c r="N25" s="71">
        <v>1</v>
      </c>
      <c r="O25" s="71">
        <v>1</v>
      </c>
      <c r="P25" s="71">
        <v>1</v>
      </c>
      <c r="Q25" s="71">
        <v>1</v>
      </c>
      <c r="R25" s="71">
        <v>1</v>
      </c>
      <c r="S25" s="71">
        <v>1</v>
      </c>
      <c r="T25" s="71">
        <v>1</v>
      </c>
      <c r="U25" s="71">
        <v>1</v>
      </c>
      <c r="V25" s="71">
        <v>1</v>
      </c>
      <c r="W25" s="71">
        <v>1</v>
      </c>
      <c r="X25" s="71">
        <v>1</v>
      </c>
      <c r="Y25" s="71">
        <v>1</v>
      </c>
      <c r="Z25" s="71">
        <v>1</v>
      </c>
      <c r="AA25" s="71">
        <v>1</v>
      </c>
      <c r="AB25" s="71">
        <v>1</v>
      </c>
      <c r="AC25" s="71">
        <v>1</v>
      </c>
      <c r="AD25"/>
      <c r="AE25"/>
      <c r="AF25" s="101"/>
      <c r="AG25" s="101"/>
      <c r="AH25" s="101"/>
      <c r="AI25" s="101"/>
      <c r="AJ25" s="101"/>
      <c r="AK25" s="101"/>
      <c r="AL25" s="101"/>
      <c r="AM25" s="101"/>
      <c r="AN25" s="101"/>
      <c r="AO25" s="101"/>
      <c r="AP25" s="101"/>
      <c r="AQ25" s="101"/>
      <c r="AR25" s="101"/>
      <c r="AS25" s="101"/>
    </row>
    <row r="26" spans="1:256">
      <c r="A26" t="s">
        <v>102</v>
      </c>
      <c r="B26" s="19"/>
      <c r="C26" s="19"/>
      <c r="D26" s="19"/>
      <c r="E26" s="59">
        <f>SELL*AnnCap/1000*E25</f>
        <v>69740.899039325246</v>
      </c>
      <c r="F26" s="59">
        <f>SELL*AnnCap/1000*F25*(1+SPINFL)</f>
        <v>108795.80250134738</v>
      </c>
      <c r="G26" s="59">
        <f>SELL*AnnCap/1000*G25*(1+SPINFL)^G23</f>
        <v>150863.51280186838</v>
      </c>
      <c r="H26" s="59">
        <f t="shared" ref="H26:S26" si="0">SELL*AnnCap/1000*H25*(1+SPINFL)^H23</f>
        <v>156898.05331394312</v>
      </c>
      <c r="I26" s="59">
        <f t="shared" si="0"/>
        <v>163173.97544650087</v>
      </c>
      <c r="J26" s="59">
        <f t="shared" si="0"/>
        <v>169700.93446436091</v>
      </c>
      <c r="K26" s="59">
        <f t="shared" si="0"/>
        <v>176488.97184293534</v>
      </c>
      <c r="L26" s="59">
        <f t="shared" si="0"/>
        <v>183548.53071665275</v>
      </c>
      <c r="M26" s="59">
        <f t="shared" si="0"/>
        <v>190890.47194531889</v>
      </c>
      <c r="N26" s="59">
        <f t="shared" si="0"/>
        <v>198526.09082313167</v>
      </c>
      <c r="O26" s="59">
        <f t="shared" si="0"/>
        <v>206467.13445605693</v>
      </c>
      <c r="P26" s="59">
        <f t="shared" si="0"/>
        <v>214725.81983429918</v>
      </c>
      <c r="Q26" s="59">
        <f t="shared" si="0"/>
        <v>223314.85262767121</v>
      </c>
      <c r="R26" s="79">
        <f t="shared" si="0"/>
        <v>232247.44673277807</v>
      </c>
      <c r="S26" s="102">
        <f t="shared" si="0"/>
        <v>241537.34460208917</v>
      </c>
      <c r="T26" s="79">
        <f t="shared" ref="T26:AC26" si="1">SELL*AnnCap/1000*T25*(1+SPINFL)^T23</f>
        <v>251198.83838617275</v>
      </c>
      <c r="U26" s="102">
        <f t="shared" si="1"/>
        <v>261246.7919216197</v>
      </c>
      <c r="V26" s="79">
        <f t="shared" si="1"/>
        <v>271696.66359848448</v>
      </c>
      <c r="W26" s="102">
        <f t="shared" si="1"/>
        <v>282564.53014242393</v>
      </c>
      <c r="X26" s="79">
        <f t="shared" si="1"/>
        <v>293867.11134812084</v>
      </c>
      <c r="Y26" s="102">
        <f t="shared" si="1"/>
        <v>305621.79580204567</v>
      </c>
      <c r="Z26" s="79">
        <f t="shared" si="1"/>
        <v>317846.6676341276</v>
      </c>
      <c r="AA26" s="102">
        <f t="shared" si="1"/>
        <v>330560.53433949267</v>
      </c>
      <c r="AB26" s="79">
        <f t="shared" si="1"/>
        <v>343782.95571307233</v>
      </c>
      <c r="AC26" s="102">
        <f t="shared" si="1"/>
        <v>357534.27394159528</v>
      </c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</row>
    <row r="27" spans="1:256">
      <c r="A27" t="s">
        <v>162</v>
      </c>
      <c r="B27" s="19"/>
      <c r="C27" s="19"/>
      <c r="D27" s="1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79"/>
      <c r="S27" s="102">
        <f>salvage</f>
        <v>1980</v>
      </c>
      <c r="T27" s="79"/>
      <c r="U27" s="102">
        <f>salvage</f>
        <v>1980</v>
      </c>
      <c r="V27" s="79"/>
      <c r="W27" s="102">
        <f>salvage</f>
        <v>1980</v>
      </c>
      <c r="X27" s="79"/>
      <c r="Y27" s="102">
        <f>salvage</f>
        <v>1980</v>
      </c>
      <c r="Z27" s="79"/>
      <c r="AA27" s="102">
        <f>salvage</f>
        <v>1980</v>
      </c>
      <c r="AB27" s="79"/>
      <c r="AC27" s="102">
        <f>salvage</f>
        <v>1980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</row>
    <row r="28" spans="1:256">
      <c r="A28" t="s">
        <v>31</v>
      </c>
      <c r="B28" s="19"/>
      <c r="C28" s="19"/>
      <c r="D28" s="19"/>
      <c r="E28" s="58">
        <f>-VARIABLE*E25</f>
        <v>-55203.771930858326</v>
      </c>
      <c r="F28" s="58">
        <f>-VARIABLE*(1+INFL)*F25</f>
        <v>-86117.88421213899</v>
      </c>
      <c r="G28" s="58">
        <f t="shared" ref="G28:S28" si="2">-VARIABLE*(1+INFL)^G23*G25</f>
        <v>-119416.79944083274</v>
      </c>
      <c r="H28" s="58">
        <f t="shared" si="2"/>
        <v>-124193.47141846606</v>
      </c>
      <c r="I28" s="58">
        <f t="shared" si="2"/>
        <v>-129161.21027520471</v>
      </c>
      <c r="J28" s="58">
        <f t="shared" si="2"/>
        <v>-134327.6586862129</v>
      </c>
      <c r="K28" s="58">
        <f t="shared" si="2"/>
        <v>-139700.76503366142</v>
      </c>
      <c r="L28" s="58">
        <f t="shared" si="2"/>
        <v>-145288.79563500787</v>
      </c>
      <c r="M28" s="58">
        <f t="shared" si="2"/>
        <v>-151100.3474604082</v>
      </c>
      <c r="N28" s="58">
        <f t="shared" si="2"/>
        <v>-157144.36135882454</v>
      </c>
      <c r="O28" s="58">
        <f t="shared" si="2"/>
        <v>-163430.13581317753</v>
      </c>
      <c r="P28" s="58">
        <f t="shared" si="2"/>
        <v>-169967.34124570462</v>
      </c>
      <c r="Q28" s="58">
        <f t="shared" si="2"/>
        <v>-176766.03489553285</v>
      </c>
      <c r="R28" s="80">
        <f t="shared" si="2"/>
        <v>-183836.67629135415</v>
      </c>
      <c r="S28" s="103">
        <f t="shared" si="2"/>
        <v>-191190.14334300833</v>
      </c>
      <c r="T28" s="80">
        <f t="shared" ref="T28:AC28" si="3">-VARIABLE*(1+INFL)^T23*T25</f>
        <v>-198837.74907672865</v>
      </c>
      <c r="U28" s="103">
        <f t="shared" si="3"/>
        <v>-206791.25903979782</v>
      </c>
      <c r="V28" s="80">
        <f t="shared" si="3"/>
        <v>-215062.90940138974</v>
      </c>
      <c r="W28" s="103">
        <f t="shared" si="3"/>
        <v>-223665.42577744537</v>
      </c>
      <c r="X28" s="80">
        <f t="shared" si="3"/>
        <v>-232612.04280854316</v>
      </c>
      <c r="Y28" s="103">
        <f t="shared" si="3"/>
        <v>-241916.52452088491</v>
      </c>
      <c r="Z28" s="80">
        <f t="shared" si="3"/>
        <v>-251593.18550172038</v>
      </c>
      <c r="AA28" s="103">
        <f t="shared" si="3"/>
        <v>-261656.91292178916</v>
      </c>
      <c r="AB28" s="80">
        <f t="shared" si="3"/>
        <v>-272123.18943866069</v>
      </c>
      <c r="AC28" s="103">
        <f t="shared" si="3"/>
        <v>-283008.11701620714</v>
      </c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</row>
    <row r="29" spans="1:256">
      <c r="A29" t="s">
        <v>70</v>
      </c>
      <c r="B29" s="19"/>
      <c r="C29" s="19"/>
      <c r="D29" s="19"/>
      <c r="E29" s="58">
        <f>-FIXED</f>
        <v>-20960</v>
      </c>
      <c r="F29" s="58">
        <f>-FIXED*(1+INFL)</f>
        <v>-21798.400000000001</v>
      </c>
      <c r="G29" s="20">
        <f t="shared" ref="G29:N32" si="4">F29*(1+INFL)</f>
        <v>-22670.336000000003</v>
      </c>
      <c r="H29" s="20">
        <f t="shared" si="4"/>
        <v>-23577.149440000005</v>
      </c>
      <c r="I29" s="20">
        <f t="shared" si="4"/>
        <v>-24520.235417600004</v>
      </c>
      <c r="J29" s="20">
        <f t="shared" si="4"/>
        <v>-25501.044834304004</v>
      </c>
      <c r="K29" s="20">
        <f t="shared" si="4"/>
        <v>-26521.086627676166</v>
      </c>
      <c r="L29" s="20">
        <f t="shared" si="4"/>
        <v>-27581.930092783216</v>
      </c>
      <c r="M29" s="20">
        <f t="shared" si="4"/>
        <v>-28685.207296494544</v>
      </c>
      <c r="N29" s="20">
        <f t="shared" si="4"/>
        <v>-29832.615588354325</v>
      </c>
      <c r="O29" s="20">
        <f t="shared" ref="O29:AC29" si="5">N29*(1+INFL)</f>
        <v>-31025.9202118885</v>
      </c>
      <c r="P29" s="20">
        <f t="shared" si="5"/>
        <v>-32266.957020364043</v>
      </c>
      <c r="Q29" s="20">
        <f t="shared" si="5"/>
        <v>-33557.635301178605</v>
      </c>
      <c r="R29" s="81">
        <f t="shared" si="5"/>
        <v>-34899.940713225747</v>
      </c>
      <c r="S29" s="104">
        <f t="shared" si="5"/>
        <v>-36295.93834175478</v>
      </c>
      <c r="T29" s="81">
        <f t="shared" si="5"/>
        <v>-37747.775875424973</v>
      </c>
      <c r="U29" s="104">
        <f t="shared" si="5"/>
        <v>-39257.686910441975</v>
      </c>
      <c r="V29" s="81">
        <f t="shared" si="5"/>
        <v>-40827.994386859653</v>
      </c>
      <c r="W29" s="104">
        <f t="shared" si="5"/>
        <v>-42461.114162334037</v>
      </c>
      <c r="X29" s="81">
        <f t="shared" si="5"/>
        <v>-44159.558728827404</v>
      </c>
      <c r="Y29" s="104">
        <f t="shared" si="5"/>
        <v>-45925.941077980504</v>
      </c>
      <c r="Z29" s="81">
        <f t="shared" si="5"/>
        <v>-47762.978721099724</v>
      </c>
      <c r="AA29" s="104">
        <f t="shared" si="5"/>
        <v>-49673.497869943712</v>
      </c>
      <c r="AB29" s="81">
        <f t="shared" si="5"/>
        <v>-51660.437784741465</v>
      </c>
      <c r="AC29" s="104">
        <f t="shared" si="5"/>
        <v>-53726.855296131129</v>
      </c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</row>
    <row r="30" spans="1:256">
      <c r="A30" t="s">
        <v>111</v>
      </c>
      <c r="B30" s="19"/>
      <c r="C30" s="19"/>
      <c r="D30" s="19"/>
      <c r="E30" s="20">
        <f>-YEAR1*TOTINVEST</f>
        <v>-3960</v>
      </c>
      <c r="F30" s="20">
        <f>-(YEAR2*TOTINVEST)+YEAR1*E32</f>
        <v>-6454.8</v>
      </c>
      <c r="G30" s="20">
        <f>-(YEAR3*TOTINVEST)+YEAR1*F32+YEAR2*E32</f>
        <v>-4001.58</v>
      </c>
      <c r="H30" s="20">
        <f>-(YEAR4*TOTINVEST)+YEAR1*G32+YEAR2*F32+YEAR3*E32</f>
        <v>-2619.54</v>
      </c>
      <c r="I30" s="20">
        <f>-(YEAR5*TOTINVEST)+YEAR1*H32+YEAR2*G32+YEAR3*F32+YEAR4*E32</f>
        <v>-2630.2122000000004</v>
      </c>
      <c r="J30" s="20">
        <f>-(YEAR6*TOTINVEST)+YEAR1*I32+YEAR2*H32+YEAR3*G32+YEAR4*F32+YEAR5*E32</f>
        <v>-1281.2294879999999</v>
      </c>
      <c r="K30" s="20">
        <f t="shared" ref="K30:R30" si="6">YEAR1*J32+YEAR2*I32+YEAR3*H32+YEAR4*G32+YEAR5*F32+YEAR6*E32</f>
        <v>-288.14746752000002</v>
      </c>
      <c r="L30" s="20">
        <f t="shared" si="6"/>
        <v>-281.16036622080003</v>
      </c>
      <c r="M30" s="20">
        <f t="shared" si="6"/>
        <v>-292.40678086963203</v>
      </c>
      <c r="N30" s="20">
        <f t="shared" si="6"/>
        <v>-304.10305210441737</v>
      </c>
      <c r="O30" s="20">
        <f t="shared" si="6"/>
        <v>-316.26717418859403</v>
      </c>
      <c r="P30" s="20">
        <f t="shared" si="6"/>
        <v>-328.9178611561378</v>
      </c>
      <c r="Q30" s="20">
        <f t="shared" si="6"/>
        <v>-342.07457560238333</v>
      </c>
      <c r="R30" s="81">
        <f t="shared" si="6"/>
        <v>-355.75755862647873</v>
      </c>
      <c r="S30" s="104">
        <f>S32+R32+(YEAR2+YEAR3+YEAR4+YEAR5+YEAR6)*Q32+(YEAR3+YEAR4+YEAR5+YEAR6)*P32+(YEAR4+YEAR5+YEAR6)*O32+(YEAR5+YEAR6)*N32+YEAR6*M32</f>
        <v>-1465.0514952539045</v>
      </c>
      <c r="T30" s="81">
        <f>YEAR1*S32+YEAR2*R32+YEAR3*Q32+YEAR4*P32+YEAR5*O32+YEAR6*N32</f>
        <v>-384.78737541039936</v>
      </c>
      <c r="U30" s="104">
        <f>U32+T32+(YEAR2+YEAR3+YEAR4+YEAR5+YEAR6)*S32+(YEAR3+YEAR4+YEAR5+YEAR6)*R32+(YEAR4+YEAR5+YEAR6)*Q32+(YEAR5+YEAR6)*P32+YEAR6*O32</f>
        <v>-710.27625887196746</v>
      </c>
      <c r="V30" s="81">
        <f>YEAR1*U32+YEAR2*T32+YEAR3*S32+YEAR4*R32+YEAR5*Q32+YEAR6*P32</f>
        <v>-189.89054707115349</v>
      </c>
      <c r="W30" s="104">
        <f>W32+V32+(YEAR2+YEAR3+YEAR4+YEAR5+YEAR6)*U32+(YEAR3+YEAR4+YEAR5+YEAR6)*T32+(YEAR4+YEAR5+YEAR6)*S32+(YEAR5+YEAR6)*R32+YEAR6*Q32</f>
        <v>-205.92482553033744</v>
      </c>
      <c r="X30" s="81">
        <f>YEAR1*W32+YEAR2*V32+YEAR3*U32+YEAR4*T32+YEAR5*S32+YEAR6*R32</f>
        <v>-69.265456871893605</v>
      </c>
      <c r="Y30" s="104">
        <f>Y32+X32+(YEAR2+YEAR3+YEAR4+YEAR5+YEAR6)*W32+(YEAR3+YEAR4+YEAR5+YEAR6)*V32+(YEAR4+YEAR5+YEAR6)*U32+(YEAR5+YEAR6)*T32+YEAR6*S32</f>
        <v>-20.605284652966063</v>
      </c>
      <c r="Z30" s="81">
        <f>YEAR1*Y32+YEAR2*X32+YEAR3*W32+YEAR4*V32+YEAR5*U32+YEAR6*T32</f>
        <v>0</v>
      </c>
      <c r="AA30" s="104">
        <f>AA32+Z32+(YEAR2+YEAR3+YEAR4+YEAR5+YEAR6)*Y32+(YEAR3+YEAR4+YEAR5+YEAR6)*X32+(YEAR4+YEAR5+YEAR6)*W32+(YEAR5+YEAR6)*V32+YEAR6*U32</f>
        <v>0</v>
      </c>
      <c r="AB30" s="81">
        <f>YEAR1*AA32+YEAR2*Z32+YEAR3*Y32+YEAR4*X32+YEAR5*W32+YEAR6*V32</f>
        <v>0</v>
      </c>
      <c r="AC30" s="104">
        <f>AC32+AB32+(YEAR2+YEAR3+YEAR4+YEAR5+YEAR6)*AA32+(YEAR3+YEAR4+YEAR5+YEAR6)*Z32+(YEAR4+YEAR5+YEAR6)*Y32+(YEAR5+YEAR6)*X32+YEAR6*W32</f>
        <v>0</v>
      </c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</row>
    <row r="31" spans="1:256">
      <c r="B31" s="19"/>
      <c r="C31" s="19"/>
      <c r="D31" s="19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105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</row>
    <row r="32" spans="1:256">
      <c r="A32" t="s">
        <v>104</v>
      </c>
      <c r="B32" s="61">
        <f>-TOTINVEST*0.1</f>
        <v>-1980</v>
      </c>
      <c r="C32" s="61">
        <f>-TOTINVEST*0.33</f>
        <v>-6534</v>
      </c>
      <c r="D32" s="61">
        <f>-TOTINVEST-B32-C32</f>
        <v>-11286</v>
      </c>
      <c r="E32" s="98">
        <f>-yr1_replace_factor*TOTINVEST</f>
        <v>-594</v>
      </c>
      <c r="F32" s="60">
        <f>-replace_factor*TOTINVEST</f>
        <v>-247.5</v>
      </c>
      <c r="G32" s="60">
        <f t="shared" si="4"/>
        <v>-257.40000000000003</v>
      </c>
      <c r="H32" s="60">
        <f t="shared" si="4"/>
        <v>-267.69600000000003</v>
      </c>
      <c r="I32" s="60">
        <f t="shared" si="4"/>
        <v>-278.40384000000006</v>
      </c>
      <c r="J32" s="60">
        <f t="shared" si="4"/>
        <v>-289.53999360000006</v>
      </c>
      <c r="K32" s="60">
        <f t="shared" si="4"/>
        <v>-301.12159334400008</v>
      </c>
      <c r="L32" s="60">
        <f t="shared" si="4"/>
        <v>-313.16645707776007</v>
      </c>
      <c r="M32" s="60">
        <f t="shared" si="4"/>
        <v>-325.69311536087048</v>
      </c>
      <c r="N32" s="60">
        <f t="shared" si="4"/>
        <v>-338.7208399753053</v>
      </c>
      <c r="O32" s="60">
        <f>N32*(1+INFL)</f>
        <v>-352.26967357431749</v>
      </c>
      <c r="P32" s="60">
        <f>O32*(1+INFL)</f>
        <v>-366.36046051729022</v>
      </c>
      <c r="Q32" s="60">
        <f>P32*(1+INFL)</f>
        <v>-381.01487893798185</v>
      </c>
      <c r="R32" s="82">
        <f>Q32*(1+INFL)</f>
        <v>-396.25547409550114</v>
      </c>
      <c r="S32" s="61">
        <f>R32*(1+INFL)</f>
        <v>-412.1056930593212</v>
      </c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</row>
    <row r="33" spans="1:45">
      <c r="A33" t="s">
        <v>112</v>
      </c>
      <c r="B33" s="61">
        <f>-339805.9/1000</f>
        <v>-339.80590000000001</v>
      </c>
      <c r="C33" s="19"/>
      <c r="D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</row>
    <row r="34" spans="1:45">
      <c r="A34" t="s">
        <v>24</v>
      </c>
      <c r="B34" s="19"/>
      <c r="C34" s="19"/>
      <c r="D34" s="60">
        <f>-WORKCAP</f>
        <v>-495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61">
        <f>(1+INFL)^(1+S23)*WORKCAP</f>
        <v>891.46703522592384</v>
      </c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</row>
    <row r="35" spans="1:45">
      <c r="A35" t="s">
        <v>156</v>
      </c>
      <c r="B35" s="57">
        <v>30</v>
      </c>
      <c r="C35" s="19"/>
      <c r="D35" s="19"/>
      <c r="E35" s="60">
        <f>-Days/333*E26</f>
        <v>-6282.9638774166888</v>
      </c>
      <c r="F35" s="61">
        <f>-Days/333*F26-SUM($E$35:E35)</f>
        <v>-3518.4597713533458</v>
      </c>
      <c r="G35" s="61">
        <f>-Days/333*G26-SUM($E$35:F35)</f>
        <v>-3789.8838108577456</v>
      </c>
      <c r="H35" s="61">
        <f>-Days/333*H26-SUM($E$35:G35)</f>
        <v>-543.65229838511368</v>
      </c>
      <c r="I35" s="61">
        <f>-Days/333*I26-SUM($E$35:H35)</f>
        <v>-565.39839032051714</v>
      </c>
      <c r="J35" s="61">
        <f>-Days/333*J26-SUM($E$35:I35)</f>
        <v>-588.01432593333629</v>
      </c>
      <c r="K35" s="61">
        <f>-Days/333*K26-SUM($E$35:J35)</f>
        <v>-611.53489897066902</v>
      </c>
      <c r="L35" s="61">
        <f>-Days/333*L26-SUM($E$35:K35)</f>
        <v>-635.9962949294968</v>
      </c>
      <c r="M35" s="61">
        <f>-Days/333*M26-SUM($E$35:L35)</f>
        <v>-661.436146726679</v>
      </c>
      <c r="N35" s="61">
        <f>-Days/333*N26-SUM($E$35:M35)</f>
        <v>-687.89359259574849</v>
      </c>
      <c r="O35" s="61">
        <f>-Days/333*O26-SUM($E$35:N35)</f>
        <v>-715.40933629956999</v>
      </c>
      <c r="P35" s="61">
        <f>-Days/333*P26-SUM($E$35:O35)</f>
        <v>-744.02570975155686</v>
      </c>
      <c r="Q35" s="61">
        <f>-Days/333*Q26-SUM($E$35:P35)</f>
        <v>-773.78673814162175</v>
      </c>
      <c r="R35" s="83">
        <f>-Days/333*R26-SUM($E$35:Q35)</f>
        <v>-804.7382076672875</v>
      </c>
      <c r="S35" s="61">
        <f>-Days/333*S26-SUM($E$35:R35)</f>
        <v>-836.92773597397172</v>
      </c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</row>
    <row r="36" spans="1:45">
      <c r="B36" s="19"/>
      <c r="C36" s="19"/>
      <c r="D36" s="56"/>
      <c r="E36" s="55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</row>
    <row r="37" spans="1:45">
      <c r="A37" t="s">
        <v>113</v>
      </c>
      <c r="B37" s="19"/>
      <c r="C37" s="19"/>
      <c r="D37" s="20">
        <f>-0.15*TOTINVEST*0.2</f>
        <v>-594</v>
      </c>
      <c r="E37" s="20">
        <f>-0.15*TOTINVEST*0.8</f>
        <v>-2376</v>
      </c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</row>
    <row r="38" spans="1:45"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</row>
    <row r="39" spans="1:45">
      <c r="A39" t="s">
        <v>114</v>
      </c>
      <c r="B39" s="19"/>
      <c r="C39" s="19"/>
      <c r="D39" s="20">
        <f>D37</f>
        <v>-594</v>
      </c>
      <c r="E39" s="20">
        <f t="shared" ref="E39:S39" si="7">SUM(E26:E30)+E37</f>
        <v>-12758.872891533079</v>
      </c>
      <c r="F39" s="20">
        <f t="shared" si="7"/>
        <v>-5575.2817107916098</v>
      </c>
      <c r="G39" s="20">
        <f t="shared" si="7"/>
        <v>4774.7973610356366</v>
      </c>
      <c r="H39" s="20">
        <f t="shared" si="7"/>
        <v>6507.892455477061</v>
      </c>
      <c r="I39" s="20">
        <f t="shared" si="7"/>
        <v>6862.3175536961626</v>
      </c>
      <c r="J39" s="20">
        <f t="shared" si="7"/>
        <v>8591.001455843998</v>
      </c>
      <c r="K39" s="20">
        <f t="shared" si="7"/>
        <v>9978.9727140777541</v>
      </c>
      <c r="L39" s="20">
        <f t="shared" si="7"/>
        <v>10396.644622640859</v>
      </c>
      <c r="M39" s="20">
        <f t="shared" si="7"/>
        <v>10812.510407546511</v>
      </c>
      <c r="N39" s="20">
        <f t="shared" si="7"/>
        <v>11245.010823848394</v>
      </c>
      <c r="O39" s="20">
        <f t="shared" si="7"/>
        <v>11694.811256802299</v>
      </c>
      <c r="P39" s="20">
        <f t="shared" si="7"/>
        <v>12162.603707074379</v>
      </c>
      <c r="Q39" s="20">
        <f t="shared" si="7"/>
        <v>12649.107855357368</v>
      </c>
      <c r="R39" s="81">
        <f t="shared" si="7"/>
        <v>13155.0721695717</v>
      </c>
      <c r="S39" s="104">
        <f t="shared" si="7"/>
        <v>14566.21142207216</v>
      </c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</row>
    <row r="40" spans="1:45"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</row>
    <row r="41" spans="1:45">
      <c r="A41" t="s">
        <v>115</v>
      </c>
      <c r="B41" s="88">
        <v>0.24</v>
      </c>
      <c r="C41" s="19"/>
      <c r="D41" s="20">
        <f>-IncomeTax*D39</f>
        <v>142.56</v>
      </c>
      <c r="E41" s="20">
        <f t="shared" ref="E41:N41" si="8">-IncomeTax*E39</f>
        <v>3062.1294939679387</v>
      </c>
      <c r="F41" s="20">
        <f t="shared" si="8"/>
        <v>1338.0676105899863</v>
      </c>
      <c r="G41" s="20">
        <f t="shared" si="8"/>
        <v>-1145.9513666485527</v>
      </c>
      <c r="H41" s="20">
        <f t="shared" si="8"/>
        <v>-1561.8941893144945</v>
      </c>
      <c r="I41" s="20">
        <f t="shared" si="8"/>
        <v>-1646.9562128870789</v>
      </c>
      <c r="J41" s="20">
        <f t="shared" si="8"/>
        <v>-2061.8403494025592</v>
      </c>
      <c r="K41" s="20">
        <f t="shared" si="8"/>
        <v>-2394.9534513786607</v>
      </c>
      <c r="L41" s="20">
        <f t="shared" si="8"/>
        <v>-2495.1947094338061</v>
      </c>
      <c r="M41" s="20">
        <f t="shared" si="8"/>
        <v>-2595.0024978111628</v>
      </c>
      <c r="N41" s="20">
        <f t="shared" si="8"/>
        <v>-2698.8025977236143</v>
      </c>
      <c r="O41" s="20">
        <f>-IncomeTax*O39</f>
        <v>-2806.7547016325516</v>
      </c>
      <c r="P41" s="20">
        <f>-IncomeTax*P39</f>
        <v>-2919.024889697851</v>
      </c>
      <c r="Q41" s="20">
        <f>-IncomeTax*Q39</f>
        <v>-3035.785885285768</v>
      </c>
      <c r="R41" s="81">
        <f>-IncomeTax*R39</f>
        <v>-3157.2173206972079</v>
      </c>
      <c r="S41" s="104">
        <f>-IncomeTax*S39</f>
        <v>-3495.8907412973181</v>
      </c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</row>
    <row r="42" spans="1:45">
      <c r="A42" t="s">
        <v>111</v>
      </c>
      <c r="B42" s="19"/>
      <c r="C42" s="19"/>
      <c r="D42" s="19"/>
      <c r="E42" s="20">
        <f t="shared" ref="E42:N42" si="9">-E30</f>
        <v>3960</v>
      </c>
      <c r="F42" s="20">
        <f t="shared" si="9"/>
        <v>6454.8</v>
      </c>
      <c r="G42" s="20">
        <f t="shared" si="9"/>
        <v>4001.58</v>
      </c>
      <c r="H42" s="20">
        <f t="shared" si="9"/>
        <v>2619.54</v>
      </c>
      <c r="I42" s="20">
        <f t="shared" si="9"/>
        <v>2630.2122000000004</v>
      </c>
      <c r="J42" s="20">
        <f t="shared" si="9"/>
        <v>1281.2294879999999</v>
      </c>
      <c r="K42" s="20">
        <f t="shared" si="9"/>
        <v>288.14746752000002</v>
      </c>
      <c r="L42" s="20">
        <f t="shared" si="9"/>
        <v>281.16036622080003</v>
      </c>
      <c r="M42" s="20">
        <f t="shared" si="9"/>
        <v>292.40678086963203</v>
      </c>
      <c r="N42" s="20">
        <f t="shared" si="9"/>
        <v>304.10305210441737</v>
      </c>
      <c r="O42" s="20">
        <f>-O30</f>
        <v>316.26717418859403</v>
      </c>
      <c r="P42" s="20">
        <f>-P30</f>
        <v>328.9178611561378</v>
      </c>
      <c r="Q42" s="20">
        <f>-Q30</f>
        <v>342.07457560238333</v>
      </c>
      <c r="R42" s="81">
        <f>-R30</f>
        <v>355.75755862647873</v>
      </c>
      <c r="S42" s="104">
        <f>-S30</f>
        <v>1465.0514952539045</v>
      </c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</row>
    <row r="43" spans="1:45"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</row>
    <row r="44" spans="1:45">
      <c r="A44" t="s">
        <v>116</v>
      </c>
      <c r="B44" s="20">
        <f>B32+B33</f>
        <v>-2319.8058999999998</v>
      </c>
      <c r="C44" s="20">
        <f>C32</f>
        <v>-6534</v>
      </c>
      <c r="D44" s="20">
        <f>D39+D41+D34+D32</f>
        <v>-12232.44</v>
      </c>
      <c r="E44" s="20">
        <f t="shared" ref="E44:S44" si="10">E39+E41+E42+SUM(E32:E35)</f>
        <v>-12613.707274981829</v>
      </c>
      <c r="F44" s="20">
        <f t="shared" si="10"/>
        <v>-1548.3738715549689</v>
      </c>
      <c r="G44" s="20">
        <f t="shared" si="10"/>
        <v>3583.1421835293381</v>
      </c>
      <c r="H44" s="20">
        <f t="shared" si="10"/>
        <v>6754.1899677774527</v>
      </c>
      <c r="I44" s="20">
        <f t="shared" si="10"/>
        <v>7001.771310488567</v>
      </c>
      <c r="J44" s="20">
        <f t="shared" si="10"/>
        <v>6932.8362749081025</v>
      </c>
      <c r="K44" s="20">
        <f t="shared" si="10"/>
        <v>6959.5102379044247</v>
      </c>
      <c r="L44" s="20">
        <f t="shared" si="10"/>
        <v>7233.4475274205952</v>
      </c>
      <c r="M44" s="20">
        <f t="shared" si="10"/>
        <v>7522.7854285174317</v>
      </c>
      <c r="N44" s="20">
        <f t="shared" si="10"/>
        <v>7823.6968456581435</v>
      </c>
      <c r="O44" s="20">
        <f t="shared" si="10"/>
        <v>8136.6447194844532</v>
      </c>
      <c r="P44" s="20">
        <f t="shared" si="10"/>
        <v>8462.1105082638205</v>
      </c>
      <c r="Q44" s="20">
        <f t="shared" si="10"/>
        <v>8800.5949285943789</v>
      </c>
      <c r="R44" s="81">
        <f t="shared" si="10"/>
        <v>9152.6187257381825</v>
      </c>
      <c r="S44" s="104">
        <f t="shared" si="10"/>
        <v>12177.805782221378</v>
      </c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</row>
    <row r="45" spans="1:45">
      <c r="A45" s="155" t="s">
        <v>220</v>
      </c>
      <c r="B45" s="20">
        <f>B44</f>
        <v>-2319.8058999999998</v>
      </c>
      <c r="C45" s="20">
        <f>B45+C44</f>
        <v>-8853.8058999999994</v>
      </c>
      <c r="D45" s="20">
        <f t="shared" ref="D45:S45" si="11">C45+D44</f>
        <v>-21086.245900000002</v>
      </c>
      <c r="E45" s="20">
        <f t="shared" si="11"/>
        <v>-33699.953174981827</v>
      </c>
      <c r="F45" s="20">
        <f t="shared" si="11"/>
        <v>-35248.327046536797</v>
      </c>
      <c r="G45" s="20">
        <f t="shared" si="11"/>
        <v>-31665.18486300746</v>
      </c>
      <c r="H45" s="20">
        <f t="shared" si="11"/>
        <v>-24910.994895230007</v>
      </c>
      <c r="I45" s="20">
        <f t="shared" si="11"/>
        <v>-17909.223584741441</v>
      </c>
      <c r="J45" s="20">
        <f t="shared" si="11"/>
        <v>-10976.387309833339</v>
      </c>
      <c r="K45" s="20">
        <f t="shared" si="11"/>
        <v>-4016.8770719289141</v>
      </c>
      <c r="L45" s="20">
        <f t="shared" si="11"/>
        <v>3216.5704554916811</v>
      </c>
      <c r="M45" s="20">
        <f t="shared" si="11"/>
        <v>10739.355884009114</v>
      </c>
      <c r="N45" s="20">
        <f t="shared" si="11"/>
        <v>18563.052729667259</v>
      </c>
      <c r="O45" s="20">
        <f t="shared" si="11"/>
        <v>26699.69744915171</v>
      </c>
      <c r="P45" s="20">
        <f t="shared" si="11"/>
        <v>35161.807957415527</v>
      </c>
      <c r="Q45" s="20">
        <f t="shared" si="11"/>
        <v>43962.402886009906</v>
      </c>
      <c r="R45" s="20">
        <f t="shared" si="11"/>
        <v>53115.021611748089</v>
      </c>
      <c r="S45" s="20">
        <f t="shared" si="11"/>
        <v>65292.827393969463</v>
      </c>
    </row>
    <row r="47" spans="1:45">
      <c r="B47" s="19"/>
    </row>
    <row r="49" spans="1:16">
      <c r="J49" s="21" t="s">
        <v>159</v>
      </c>
    </row>
    <row r="50" spans="1:16">
      <c r="B50" s="4" t="s">
        <v>117</v>
      </c>
      <c r="C50" s="23">
        <f>NPV(CAP,B44:S44)</f>
        <v>9712.6242225775932</v>
      </c>
      <c r="D50" t="s">
        <v>168</v>
      </c>
      <c r="J50" t="s">
        <v>118</v>
      </c>
      <c r="K50" s="106">
        <v>0.2</v>
      </c>
    </row>
    <row r="51" spans="1:16">
      <c r="B51" s="4" t="s">
        <v>117</v>
      </c>
      <c r="C51" s="23">
        <f>B44+NPV(CAP,C44:S44)</f>
        <v>10538.197281496688</v>
      </c>
      <c r="D51" t="s">
        <v>169</v>
      </c>
      <c r="J51" t="s">
        <v>119</v>
      </c>
      <c r="K51" s="106">
        <v>0.32</v>
      </c>
    </row>
    <row r="52" spans="1:16">
      <c r="J52" t="s">
        <v>120</v>
      </c>
      <c r="K52" s="106">
        <v>0.19</v>
      </c>
    </row>
    <row r="53" spans="1:16">
      <c r="B53" s="4" t="s">
        <v>164</v>
      </c>
      <c r="C53" s="75">
        <v>0.125</v>
      </c>
      <c r="E53" s="4" t="s">
        <v>179</v>
      </c>
      <c r="F53" s="89">
        <f>NPV(C55,B44:S44)</f>
        <v>-1.3642420526593924E-10</v>
      </c>
      <c r="J53" t="s">
        <v>121</v>
      </c>
      <c r="K53" s="106">
        <v>0.12</v>
      </c>
    </row>
    <row r="54" spans="1:16">
      <c r="B54" s="4" t="s">
        <v>163</v>
      </c>
      <c r="C54" s="76">
        <f>IRR(B44:S44,C53)</f>
        <v>0.12499999999999933</v>
      </c>
      <c r="J54" t="s">
        <v>122</v>
      </c>
      <c r="K54" s="106">
        <v>0.12</v>
      </c>
    </row>
    <row r="55" spans="1:16">
      <c r="B55" s="4" t="s">
        <v>158</v>
      </c>
      <c r="C55" s="77">
        <v>0.125</v>
      </c>
      <c r="J55" t="s">
        <v>123</v>
      </c>
      <c r="K55" s="107">
        <v>0.05</v>
      </c>
    </row>
    <row r="56" spans="1:16">
      <c r="K56" s="86"/>
    </row>
    <row r="57" spans="1:16">
      <c r="K57" s="86"/>
    </row>
    <row r="59" spans="1:16" ht="18">
      <c r="A59" s="33" t="s">
        <v>124</v>
      </c>
    </row>
    <row r="60" spans="1:16">
      <c r="L60" s="1"/>
      <c r="M60" s="1"/>
      <c r="N60" s="1"/>
      <c r="O60" s="1"/>
      <c r="P60" s="1"/>
    </row>
    <row r="61" spans="1:16">
      <c r="A61" t="s">
        <v>125</v>
      </c>
      <c r="C61" s="42">
        <f>G26</f>
        <v>150863.51280186838</v>
      </c>
      <c r="D61" t="s">
        <v>170</v>
      </c>
    </row>
    <row r="62" spans="1:16">
      <c r="A62" t="s">
        <v>126</v>
      </c>
      <c r="C62" s="42">
        <f>G28</f>
        <v>-119416.79944083274</v>
      </c>
      <c r="M62" s="1"/>
      <c r="N62" s="1"/>
      <c r="O62" s="1"/>
    </row>
    <row r="63" spans="1:16" ht="14" thickBot="1">
      <c r="A63" t="s">
        <v>127</v>
      </c>
      <c r="C63" s="43">
        <f>-'FIXED COST'!I46*(1+'CASH FLOW'!G11)^2</f>
        <v>-22670.336000000003</v>
      </c>
      <c r="F63" s="4" t="s">
        <v>128</v>
      </c>
      <c r="G63" s="44">
        <f>C66/C68</f>
        <v>0.18914062859885689</v>
      </c>
    </row>
    <row r="64" spans="1:16">
      <c r="A64" t="s">
        <v>129</v>
      </c>
      <c r="C64" s="42">
        <f>C61+C62+C63</f>
        <v>8776.3773610356366</v>
      </c>
    </row>
    <row r="65" spans="1:9" ht="14" thickBot="1">
      <c r="A65" t="s">
        <v>130</v>
      </c>
      <c r="C65" s="43">
        <f>-IncomeTax*C64</f>
        <v>-2106.3305666485526</v>
      </c>
      <c r="F65" s="4" t="s">
        <v>131</v>
      </c>
      <c r="G65" s="68">
        <f>IF(G63&gt;0,1/G63,"")</f>
        <v>5.2870713574758827</v>
      </c>
      <c r="H65" t="s">
        <v>132</v>
      </c>
    </row>
    <row r="66" spans="1:9">
      <c r="A66" t="s">
        <v>133</v>
      </c>
      <c r="C66" s="42">
        <f>C64+C65</f>
        <v>6670.0467943870844</v>
      </c>
      <c r="I66" s="3"/>
    </row>
    <row r="67" spans="1:9">
      <c r="I67" s="3"/>
    </row>
    <row r="68" spans="1:9">
      <c r="A68" t="s">
        <v>140</v>
      </c>
      <c r="C68" s="42">
        <f>-SUM(B32:G35)-B35</f>
        <v>35265.013359627781</v>
      </c>
      <c r="D68" t="s">
        <v>170</v>
      </c>
      <c r="I68" s="3"/>
    </row>
    <row r="69" spans="1:9">
      <c r="A69" t="s">
        <v>141</v>
      </c>
      <c r="I69" s="3"/>
    </row>
    <row r="71" spans="1:9">
      <c r="A71" s="78"/>
      <c r="B71" s="78"/>
    </row>
    <row r="72" spans="1:9">
      <c r="B72" s="51"/>
    </row>
    <row r="77" spans="1:9">
      <c r="B77" s="51"/>
    </row>
    <row r="78" spans="1:9">
      <c r="B78" s="51"/>
    </row>
    <row r="81" spans="2:2">
      <c r="B81" s="51"/>
    </row>
    <row r="87" spans="2:2">
      <c r="B87" s="84"/>
    </row>
    <row r="89" spans="2:2">
      <c r="B89" s="84"/>
    </row>
    <row r="90" spans="2:2">
      <c r="B90" s="84"/>
    </row>
    <row r="91" spans="2:2">
      <c r="B91" s="84"/>
    </row>
    <row r="92" spans="2:2">
      <c r="B92" s="85"/>
    </row>
    <row r="93" spans="2:2">
      <c r="B93" s="85"/>
    </row>
  </sheetData>
  <phoneticPr fontId="16" type="noConversion"/>
  <pageMargins left="0.5" right="0.5" top="1" bottom="1" header="0.5" footer="0.5"/>
  <pageSetup scale="33" orientation="landscape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oSensitivityAnalysis">
                <anchor moveWithCells="1" sizeWithCells="1">
                  <from>
                    <xdr:col>10</xdr:col>
                    <xdr:colOff>266700</xdr:colOff>
                    <xdr:row>5</xdr:row>
                    <xdr:rowOff>63500</xdr:rowOff>
                  </from>
                  <to>
                    <xdr:col>12</xdr:col>
                    <xdr:colOff>292100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SetSellingPrice">
                <anchor moveWithCells="1" sizeWithCells="1">
                  <from>
                    <xdr:col>10</xdr:col>
                    <xdr:colOff>254000</xdr:colOff>
                    <xdr:row>7</xdr:row>
                    <xdr:rowOff>139700</xdr:rowOff>
                  </from>
                  <to>
                    <xdr:col>12</xdr:col>
                    <xdr:colOff>304800</xdr:colOff>
                    <xdr:row>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FCABF-2CA7-4458-8242-2A319B7BE57A}">
  <dimension ref="A1:B15"/>
  <sheetViews>
    <sheetView workbookViewId="0">
      <selection activeCell="B15" sqref="B15"/>
    </sheetView>
  </sheetViews>
  <sheetFormatPr baseColWidth="10" defaultColWidth="8.83203125" defaultRowHeight="13"/>
  <cols>
    <col min="1" max="2" width="15.6640625" customWidth="1"/>
  </cols>
  <sheetData>
    <row r="1" spans="1:2" ht="25">
      <c r="A1" s="181" t="s">
        <v>284</v>
      </c>
    </row>
    <row r="7" spans="1:2">
      <c r="A7" s="182" t="s">
        <v>282</v>
      </c>
      <c r="B7" s="182" t="s">
        <v>283</v>
      </c>
    </row>
    <row r="8" spans="1:2">
      <c r="A8" s="182" t="s">
        <v>285</v>
      </c>
      <c r="B8" s="182" t="s">
        <v>286</v>
      </c>
    </row>
    <row r="11" spans="1:2">
      <c r="A11" s="182">
        <v>8.81853866636019E-3</v>
      </c>
      <c r="B11" s="183">
        <v>2.4700000000000002</v>
      </c>
    </row>
    <row r="12" spans="1:2">
      <c r="A12" s="182">
        <v>5.1147513226748549E-2</v>
      </c>
      <c r="B12" s="183">
        <v>2.48</v>
      </c>
    </row>
    <row r="13" spans="1:2">
      <c r="A13" s="182">
        <v>9.3476487787136908E-2</v>
      </c>
      <c r="B13" s="183">
        <v>2.4900000000000002</v>
      </c>
    </row>
    <row r="14" spans="1:2">
      <c r="A14" s="182">
        <v>0.13580545971939659</v>
      </c>
      <c r="B14" s="183">
        <v>2.5</v>
      </c>
    </row>
    <row r="15" spans="1:2">
      <c r="A15" s="182">
        <v>0.17813443690791364</v>
      </c>
      <c r="B15" s="183">
        <v>2.5099999999999998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886DA-0A75-4982-8F69-6DCA4CC1D665}">
  <dimension ref="A1:B15"/>
  <sheetViews>
    <sheetView workbookViewId="0">
      <selection activeCell="B15" sqref="B15"/>
    </sheetView>
  </sheetViews>
  <sheetFormatPr baseColWidth="10" defaultColWidth="8.83203125" defaultRowHeight="13"/>
  <cols>
    <col min="1" max="2" width="15.6640625" customWidth="1"/>
  </cols>
  <sheetData>
    <row r="1" spans="1:2" ht="25">
      <c r="A1" s="181" t="s">
        <v>284</v>
      </c>
    </row>
    <row r="7" spans="1:2">
      <c r="A7" s="182" t="s">
        <v>282</v>
      </c>
      <c r="B7" s="182" t="s">
        <v>283</v>
      </c>
    </row>
    <row r="8" spans="1:2">
      <c r="A8" s="182" t="s">
        <v>287</v>
      </c>
      <c r="B8" s="182" t="s">
        <v>286</v>
      </c>
    </row>
    <row r="11" spans="1:2">
      <c r="A11" s="182">
        <v>1.666667064030966E-4</v>
      </c>
      <c r="B11" s="183">
        <v>2.16</v>
      </c>
    </row>
    <row r="12" spans="1:2">
      <c r="A12" s="182">
        <v>7.8333338101704917E-4</v>
      </c>
      <c r="B12" s="183">
        <v>2.2999999999999998</v>
      </c>
    </row>
    <row r="13" spans="1:2">
      <c r="A13" s="182">
        <v>1.400000055631002E-3</v>
      </c>
      <c r="B13" s="183">
        <v>2.4300000000000002</v>
      </c>
    </row>
    <row r="14" spans="1:2">
      <c r="A14" s="182">
        <v>2.0166667302449546E-3</v>
      </c>
      <c r="B14" s="183">
        <v>2.57</v>
      </c>
    </row>
    <row r="15" spans="1:2">
      <c r="A15" s="182">
        <v>2.6333334048589071E-3</v>
      </c>
      <c r="B15" s="183">
        <v>2.7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0115A-7CDC-4E48-B3A1-78599F10F973}">
  <dimension ref="A1:B17"/>
  <sheetViews>
    <sheetView workbookViewId="0">
      <selection activeCell="B17" sqref="B17"/>
    </sheetView>
  </sheetViews>
  <sheetFormatPr baseColWidth="10" defaultColWidth="8.83203125" defaultRowHeight="13"/>
  <cols>
    <col min="1" max="2" width="15.6640625" customWidth="1"/>
  </cols>
  <sheetData>
    <row r="1" spans="1:2" ht="25">
      <c r="A1" s="181" t="s">
        <v>284</v>
      </c>
    </row>
    <row r="7" spans="1:2">
      <c r="A7" s="182" t="s">
        <v>282</v>
      </c>
      <c r="B7" s="182" t="s">
        <v>283</v>
      </c>
    </row>
    <row r="8" spans="1:2">
      <c r="A8" s="182" t="s">
        <v>288</v>
      </c>
      <c r="B8" s="182" t="s">
        <v>289</v>
      </c>
    </row>
    <row r="11" spans="1:2">
      <c r="A11" s="182">
        <v>4.8000011444091797</v>
      </c>
      <c r="B11" s="183">
        <v>2.15</v>
      </c>
    </row>
    <row r="12" spans="1:2">
      <c r="A12" s="182">
        <v>20.160000801086426</v>
      </c>
      <c r="B12" s="183">
        <v>2.27</v>
      </c>
    </row>
    <row r="13" spans="1:2">
      <c r="A13" s="182">
        <v>35.520000457763672</v>
      </c>
      <c r="B13" s="183">
        <v>2.39</v>
      </c>
    </row>
    <row r="14" spans="1:2">
      <c r="A14" s="182">
        <v>50.880000114440918</v>
      </c>
      <c r="B14" s="183">
        <v>2.5099999999999998</v>
      </c>
    </row>
    <row r="15" spans="1:2">
      <c r="A15" s="182">
        <v>66.239999771118164</v>
      </c>
      <c r="B15" s="183">
        <v>2.63</v>
      </c>
    </row>
    <row r="16" spans="1:2">
      <c r="A16" s="182">
        <v>81.59999942779541</v>
      </c>
      <c r="B16" s="183">
        <v>2.75</v>
      </c>
    </row>
    <row r="17" spans="1:2">
      <c r="A17" s="182">
        <v>96.959999084472656</v>
      </c>
      <c r="B17" s="183">
        <v>2.88</v>
      </c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2039D-E138-4CA1-8449-B9DDA5B159BF}">
  <dimension ref="A1:B15"/>
  <sheetViews>
    <sheetView workbookViewId="0">
      <selection activeCell="B15" sqref="B15"/>
    </sheetView>
  </sheetViews>
  <sheetFormatPr baseColWidth="10" defaultColWidth="8.83203125" defaultRowHeight="13"/>
  <cols>
    <col min="1" max="2" width="15.6640625" customWidth="1"/>
  </cols>
  <sheetData>
    <row r="1" spans="1:2" ht="25">
      <c r="A1" s="181" t="s">
        <v>284</v>
      </c>
    </row>
    <row r="7" spans="1:2">
      <c r="A7" s="182" t="s">
        <v>282</v>
      </c>
      <c r="B7" s="182" t="s">
        <v>283</v>
      </c>
    </row>
    <row r="8" spans="1:2">
      <c r="A8" s="182" t="s">
        <v>290</v>
      </c>
      <c r="B8" s="182" t="s">
        <v>289</v>
      </c>
    </row>
    <row r="11" spans="1:2">
      <c r="A11" s="182">
        <v>1.2500002980232239E-2</v>
      </c>
      <c r="B11" s="183">
        <v>2.42</v>
      </c>
    </row>
    <row r="12" spans="1:2">
      <c r="A12" s="182">
        <v>6.2500003725290298E-2</v>
      </c>
      <c r="B12" s="183">
        <v>2.4500000000000002</v>
      </c>
    </row>
    <row r="13" spans="1:2">
      <c r="A13" s="182">
        <v>0.11250000447034836</v>
      </c>
      <c r="B13" s="183">
        <v>2.48</v>
      </c>
    </row>
    <row r="14" spans="1:2">
      <c r="A14" s="182">
        <v>0.16250000521540642</v>
      </c>
      <c r="B14" s="183">
        <v>2.52</v>
      </c>
    </row>
    <row r="15" spans="1:2">
      <c r="A15" s="182">
        <v>0.21250000596046448</v>
      </c>
      <c r="B15" s="183">
        <v>2.57</v>
      </c>
    </row>
  </sheetData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F41CA-832A-4703-96AB-DFA22CCABF48}">
  <dimension ref="A1:B17"/>
  <sheetViews>
    <sheetView workbookViewId="0">
      <selection activeCell="A34" sqref="A34"/>
    </sheetView>
  </sheetViews>
  <sheetFormatPr baseColWidth="10" defaultColWidth="8.83203125" defaultRowHeight="13"/>
  <cols>
    <col min="1" max="2" width="15.6640625" customWidth="1"/>
  </cols>
  <sheetData>
    <row r="1" spans="1:2" ht="25">
      <c r="A1" s="181" t="s">
        <v>284</v>
      </c>
    </row>
    <row r="7" spans="1:2">
      <c r="A7" s="182" t="s">
        <v>282</v>
      </c>
      <c r="B7" s="182" t="s">
        <v>283</v>
      </c>
    </row>
    <row r="8" spans="1:2">
      <c r="A8" s="182" t="s">
        <v>140</v>
      </c>
      <c r="B8" s="182" t="s">
        <v>286</v>
      </c>
    </row>
    <row r="11" spans="1:2">
      <c r="A11" s="182">
        <v>8.500002026557929E-3</v>
      </c>
      <c r="B11" s="183">
        <v>2.4900000000000002</v>
      </c>
    </row>
    <row r="12" spans="1:2">
      <c r="A12" s="182">
        <v>3.5700001418590546E-2</v>
      </c>
      <c r="B12" s="183">
        <v>2.4900000000000002</v>
      </c>
    </row>
    <row r="13" spans="1:2">
      <c r="A13" s="182">
        <v>6.2900000810623177E-2</v>
      </c>
      <c r="B13" s="183">
        <v>2.4900000000000002</v>
      </c>
    </row>
    <row r="14" spans="1:2">
      <c r="A14" s="182">
        <v>9.0100000202655794E-2</v>
      </c>
      <c r="B14" s="183">
        <v>2.4900000000000002</v>
      </c>
    </row>
    <row r="15" spans="1:2">
      <c r="A15" s="182">
        <v>0.11729999959468843</v>
      </c>
      <c r="B15" s="183">
        <v>2.4900000000000002</v>
      </c>
    </row>
    <row r="16" spans="1:2">
      <c r="A16" s="182">
        <v>0.14449999898672106</v>
      </c>
      <c r="B16" s="183">
        <v>2.4900000000000002</v>
      </c>
    </row>
    <row r="17" spans="1:2">
      <c r="A17" s="182">
        <v>0.17169999837875366</v>
      </c>
      <c r="B17" s="183">
        <v>2.4900000000000002</v>
      </c>
    </row>
  </sheetData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D134B080ACBF4993F4338EF72F2DB5" ma:contentTypeVersion="2" ma:contentTypeDescription="Create a new document." ma:contentTypeScope="" ma:versionID="2784fe6d62521c1f101ae1c7effd8da0">
  <xsd:schema xmlns:xsd="http://www.w3.org/2001/XMLSchema" xmlns:xs="http://www.w3.org/2001/XMLSchema" xmlns:p="http://schemas.microsoft.com/office/2006/metadata/properties" xmlns:ns3="475fece7-c5f4-453a-bc1c-4172d75af828" targetNamespace="http://schemas.microsoft.com/office/2006/metadata/properties" ma:root="true" ma:fieldsID="267446db22c99dc2e03f1401a80ed3d3" ns3:_="">
    <xsd:import namespace="475fece7-c5f4-453a-bc1c-4172d75af82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5fece7-c5f4-453a-bc1c-4172d75af8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7C9F6F-3C09-43DD-9F31-C7FA5EE0C628}">
  <ds:schemaRefs>
    <ds:schemaRef ds:uri="http://purl.org/dc/terms/"/>
    <ds:schemaRef ds:uri="475fece7-c5f4-453a-bc1c-4172d75af828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6EB793C-273F-4313-B52A-CF27BACB03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70B8F7-3F97-4DF1-8486-E4E7276FAD7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5fece7-c5f4-453a-bc1c-4172d75af8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36</vt:i4>
      </vt:variant>
    </vt:vector>
  </HeadingPairs>
  <TitlesOfParts>
    <vt:vector size="51" baseType="lpstr">
      <vt:lpstr>CAPITAL COST</vt:lpstr>
      <vt:lpstr>VARIABLE COST</vt:lpstr>
      <vt:lpstr>FIXED COST</vt:lpstr>
      <vt:lpstr>CASH FLOW</vt:lpstr>
      <vt:lpstr>S1</vt:lpstr>
      <vt:lpstr>S2</vt:lpstr>
      <vt:lpstr>S3</vt:lpstr>
      <vt:lpstr>S4</vt:lpstr>
      <vt:lpstr>S5</vt:lpstr>
      <vt:lpstr>%IRR Sensitivity C4</vt:lpstr>
      <vt:lpstr>Operators Sensitivity C3</vt:lpstr>
      <vt:lpstr>Methane Sensitivity C2</vt:lpstr>
      <vt:lpstr>Biomass Sensitivity C1</vt:lpstr>
      <vt:lpstr>CASH CHART</vt:lpstr>
      <vt:lpstr>CUMULATIVE CASH FLOW</vt:lpstr>
      <vt:lpstr>AnnCap</vt:lpstr>
      <vt:lpstr>CAP</vt:lpstr>
      <vt:lpstr>Days</vt:lpstr>
      <vt:lpstr>FIXED</vt:lpstr>
      <vt:lpstr>GUESS</vt:lpstr>
      <vt:lpstr>HourCap</vt:lpstr>
      <vt:lpstr>IncomeTax</vt:lpstr>
      <vt:lpstr>INFL</vt:lpstr>
      <vt:lpstr>INVENTORY</vt:lpstr>
      <vt:lpstr>INVEST</vt:lpstr>
      <vt:lpstr>LangFactorTable</vt:lpstr>
      <vt:lpstr>NPV_MACRO</vt:lpstr>
      <vt:lpstr>OpHours</vt:lpstr>
      <vt:lpstr>ProcessingType</vt:lpstr>
      <vt:lpstr>Product</vt:lpstr>
      <vt:lpstr>replace_factor</vt:lpstr>
      <vt:lpstr>ROIFIXED</vt:lpstr>
      <vt:lpstr>salvage</vt:lpstr>
      <vt:lpstr>salvage_perct</vt:lpstr>
      <vt:lpstr>SELL</vt:lpstr>
      <vt:lpstr>SiteFactor</vt:lpstr>
      <vt:lpstr>Sites</vt:lpstr>
      <vt:lpstr>Spares</vt:lpstr>
      <vt:lpstr>SPINFL</vt:lpstr>
      <vt:lpstr>TARGET</vt:lpstr>
      <vt:lpstr>TOTINVEST</vt:lpstr>
      <vt:lpstr>Units</vt:lpstr>
      <vt:lpstr>VARIABLE</vt:lpstr>
      <vt:lpstr>WORKCAP</vt:lpstr>
      <vt:lpstr>YEAR1</vt:lpstr>
      <vt:lpstr>YEAR2</vt:lpstr>
      <vt:lpstr>YEAR3</vt:lpstr>
      <vt:lpstr>YEAR4</vt:lpstr>
      <vt:lpstr>YEAR5</vt:lpstr>
      <vt:lpstr>YEAR6</vt:lpstr>
      <vt:lpstr>yr1_replace_factor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Reaction-Web</dc:title>
  <dc:creator>F. M. JULIAN</dc:creator>
  <cp:lastModifiedBy>Microsoft Office User</cp:lastModifiedBy>
  <cp:lastPrinted>2022-12-09T02:00:47Z</cp:lastPrinted>
  <dcterms:created xsi:type="dcterms:W3CDTF">1998-12-22T20:31:51Z</dcterms:created>
  <dcterms:modified xsi:type="dcterms:W3CDTF">2022-12-09T02:01:40Z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0x0101004ED134B080ACBF4993F4338EF72F2DB5</vt:lpwstr>
  </property>
</Properties>
</file>